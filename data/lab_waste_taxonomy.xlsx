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Categories" sheetId="2" state="visible" r:id="rId2"/>
    <sheet xmlns:r="http://schemas.openxmlformats.org/officeDocument/2006/relationships" name="Routes" sheetId="3" state="visible" r:id="rId3"/>
    <sheet xmlns:r="http://schemas.openxmlformats.org/officeDocument/2006/relationships" name="Items" sheetId="4" state="visible" r:id="rId4"/>
    <sheet xmlns:r="http://schemas.openxmlformats.org/officeDocument/2006/relationships" name="Incompatibilities" sheetId="5" state="visible" r:id="rId5"/>
    <sheet xmlns:r="http://schemas.openxmlformats.org/officeDocument/2006/relationships" name="Workflows" sheetId="6" state="visible" r:id="rId6"/>
  </sheets>
  <definedNames>
    <definedName name="_xlnm._FilterDatabase" localSheetId="1" hidden="1">'Categories'!$A$1:$K$36</definedName>
    <definedName name="_xlnm._FilterDatabase" localSheetId="2" hidden="1">'Routes'!$A$1:$G$39</definedName>
    <definedName name="_xlnm._FilterDatabase" localSheetId="3" hidden="1">'Items'!$A$1:$K$86</definedName>
    <definedName name="_xlnm._FilterDatabase" localSheetId="5" hidden="1">'Workflows'!$A$1:$F$66</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color rgb="FF0000FF"/>
      <sz val="10"/>
    </font>
    <font>
      <name val="Arial"/>
      <charset val="1"/>
      <family val="0"/>
      <b val="1"/>
      <color rgb="FF000000"/>
      <sz val="10"/>
    </font>
  </fonts>
  <fills count="38">
    <fill>
      <patternFill/>
    </fill>
    <fill>
      <patternFill patternType="gray125"/>
    </fill>
    <fill>
      <patternFill patternType="solid">
        <fgColor rgb="FF1F3864"/>
        <bgColor rgb="FF333333"/>
      </patternFill>
    </fill>
    <fill>
      <patternFill patternType="solid">
        <fgColor rgb="FF333333"/>
        <bgColor rgb="FF1F3864"/>
      </patternFill>
    </fill>
    <fill>
      <patternFill patternType="solid">
        <fgColor rgb="FF2874A6"/>
        <bgColor rgb="FF0066CC"/>
      </patternFill>
    </fill>
    <fill>
      <patternFill patternType="solid">
        <fgColor rgb="FF7DCEA0"/>
        <bgColor rgb="FF85C1E9"/>
      </patternFill>
    </fill>
    <fill>
      <patternFill patternType="solid">
        <fgColor rgb="FFF39C12"/>
        <bgColor rgb="FFD68910"/>
      </patternFill>
    </fill>
    <fill>
      <patternFill patternType="solid">
        <fgColor rgb="FFD68910"/>
        <bgColor rgb="FFE67E22"/>
      </patternFill>
    </fill>
    <fill>
      <patternFill patternType="solid">
        <fgColor rgb="FFF4D03F"/>
        <bgColor rgb="FFF7DC6F"/>
      </patternFill>
    </fill>
    <fill>
      <patternFill patternType="solid">
        <fgColor rgb="FF48C9B0"/>
        <bgColor rgb="FF5DADE2"/>
      </patternFill>
    </fill>
    <fill>
      <patternFill patternType="solid">
        <fgColor rgb="FFE67E22"/>
        <bgColor rgb="FFD68910"/>
      </patternFill>
    </fill>
    <fill>
      <patternFill patternType="solid">
        <fgColor rgb="FFF7DC6F"/>
        <bgColor rgb="FFF9E79F"/>
      </patternFill>
    </fill>
    <fill>
      <patternFill patternType="solid">
        <fgColor rgb="FF5DADE2"/>
        <bgColor rgb="FF5499C7"/>
      </patternFill>
    </fill>
    <fill>
      <patternFill patternType="solid">
        <fgColor rgb="FFA569BD"/>
        <bgColor rgb="FF8E44AD"/>
      </patternFill>
    </fill>
    <fill>
      <patternFill patternType="solid">
        <fgColor rgb="FF85C1E9"/>
        <bgColor rgb="FF7DCEA0"/>
      </patternFill>
    </fill>
    <fill>
      <patternFill patternType="solid">
        <fgColor rgb="FFEC7063"/>
        <bgColor rgb="FFE67E22"/>
      </patternFill>
    </fill>
    <fill>
      <patternFill patternType="solid">
        <fgColor rgb="FFF1948A"/>
        <bgColor rgb="FFEC7063"/>
      </patternFill>
    </fill>
    <fill>
      <patternFill patternType="solid">
        <fgColor rgb="FFAF601A"/>
        <bgColor rgb="FFA04000"/>
      </patternFill>
    </fill>
    <fill>
      <patternFill patternType="solid">
        <fgColor rgb="FFABB2B9"/>
        <bgColor rgb="FFBFBFBF"/>
      </patternFill>
    </fill>
    <fill>
      <patternFill patternType="solid">
        <fgColor rgb="FFC0392B"/>
        <bgColor rgb="FFA04000"/>
      </patternFill>
    </fill>
    <fill>
      <patternFill patternType="solid">
        <fgColor rgb="FFE74C3C"/>
        <bgColor rgb="FFFF5733"/>
      </patternFill>
    </fill>
    <fill>
      <patternFill patternType="solid">
        <fgColor rgb="FF6C3483"/>
        <bgColor rgb="FF8E44AD"/>
      </patternFill>
    </fill>
    <fill>
      <patternFill patternType="solid">
        <fgColor rgb="FF239B56"/>
        <bgColor rgb="FF2874A6"/>
      </patternFill>
    </fill>
    <fill>
      <patternFill patternType="solid">
        <fgColor rgb="FFD6EAF8"/>
        <bgColor rgb="FFCCFFFF"/>
      </patternFill>
    </fill>
    <fill>
      <patternFill patternType="solid">
        <fgColor rgb="FF17202A"/>
        <bgColor rgb="FF333333"/>
      </patternFill>
    </fill>
    <fill>
      <patternFill patternType="solid">
        <fgColor rgb="FF8E44AD"/>
        <bgColor rgb="FF6C3483"/>
      </patternFill>
    </fill>
    <fill>
      <patternFill patternType="solid">
        <fgColor rgb="FF3498DB"/>
        <bgColor rgb="FF5499C7"/>
      </patternFill>
    </fill>
    <fill>
      <patternFill patternType="solid">
        <fgColor rgb="FFFF5733"/>
        <bgColor rgb="FFE74C3C"/>
      </patternFill>
    </fill>
    <fill>
      <patternFill patternType="solid">
        <fgColor rgb="FFA04000"/>
        <bgColor rgb="FFC0392B"/>
      </patternFill>
    </fill>
    <fill>
      <patternFill patternType="solid">
        <fgColor rgb="FF7F8C8D"/>
        <bgColor rgb="FF5499C7"/>
      </patternFill>
    </fill>
    <fill>
      <patternFill patternType="solid">
        <fgColor rgb="FFA9DFBF"/>
        <bgColor rgb="FFABEBC6"/>
      </patternFill>
    </fill>
    <fill>
      <patternFill patternType="solid">
        <fgColor rgb="FFABEBC6"/>
        <bgColor rgb="FFA9DFBF"/>
      </patternFill>
    </fill>
    <fill>
      <patternFill patternType="solid">
        <fgColor rgb="FF566573"/>
        <bgColor rgb="FF2874A6"/>
      </patternFill>
    </fill>
    <fill>
      <patternFill patternType="solid">
        <fgColor rgb="FFF5B041"/>
        <bgColor rgb="FFF39C12"/>
      </patternFill>
    </fill>
    <fill>
      <patternFill patternType="solid">
        <fgColor rgb="FFF9E79F"/>
        <bgColor rgb="FFF7DC6F"/>
      </patternFill>
    </fill>
    <fill>
      <patternFill patternType="solid">
        <fgColor rgb="FF5499C7"/>
        <bgColor rgb="FF5DADE2"/>
      </patternFill>
    </fill>
    <fill>
      <patternFill patternType="solid">
        <fgColor rgb="FF145A32"/>
        <bgColor rgb="FF1F3864"/>
      </patternFill>
    </fill>
    <fill>
      <patternFill patternType="solid">
        <fgColor rgb="FF7B241C"/>
        <bgColor rgb="FFA04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center" wrapText="1"/>
    </xf>
    <xf numFmtId="0" fontId="8"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9" fillId="7" borderId="1" applyAlignment="1" pivotButton="0" quotePrefix="0" xfId="0">
      <alignment horizontal="general" vertical="top" wrapText="1"/>
    </xf>
    <xf numFmtId="0" fontId="9" fillId="8" borderId="1" applyAlignment="1" pivotButton="0" quotePrefix="0" xfId="0">
      <alignment horizontal="general" vertical="top" wrapText="1"/>
    </xf>
    <xf numFmtId="0" fontId="9" fillId="9" borderId="1" applyAlignment="1" pivotButton="0" quotePrefix="0" xfId="0">
      <alignment horizontal="general" vertical="top" wrapText="1"/>
    </xf>
    <xf numFmtId="0" fontId="9" fillId="10" borderId="1" applyAlignment="1" pivotButton="0" quotePrefix="0" xfId="0">
      <alignment horizontal="general" vertical="top" wrapText="1"/>
    </xf>
    <xf numFmtId="0" fontId="9" fillId="11" borderId="1" applyAlignment="1" pivotButton="0" quotePrefix="0" xfId="0">
      <alignment horizontal="general" vertical="top" wrapText="1"/>
    </xf>
    <xf numFmtId="0" fontId="9"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9" fillId="14" borderId="1" applyAlignment="1" pivotButton="0" quotePrefix="0" xfId="0">
      <alignment horizontal="general" vertical="top" wrapText="1"/>
    </xf>
    <xf numFmtId="0" fontId="9" fillId="15" borderId="1" applyAlignment="1" pivotButton="0" quotePrefix="0" xfId="0">
      <alignment horizontal="general" vertical="top" wrapText="1"/>
    </xf>
    <xf numFmtId="0" fontId="9" fillId="16" borderId="1" applyAlignment="1" pivotButton="0" quotePrefix="0" xfId="0">
      <alignment horizontal="general" vertical="top" wrapText="1"/>
    </xf>
    <xf numFmtId="0" fontId="7" fillId="17" borderId="1" applyAlignment="1" pivotButton="0" quotePrefix="0" xfId="0">
      <alignment horizontal="general" vertical="top" wrapText="1"/>
    </xf>
    <xf numFmtId="0" fontId="9" fillId="18" borderId="1" applyAlignment="1" pivotButton="0" quotePrefix="0" xfId="0">
      <alignment horizontal="general" vertical="top" wrapText="1"/>
    </xf>
    <xf numFmtId="0" fontId="7" fillId="19" borderId="1" applyAlignment="1" pivotButton="0" quotePrefix="0" xfId="0">
      <alignment horizontal="general" vertical="top" wrapText="1"/>
    </xf>
    <xf numFmtId="0" fontId="7" fillId="20" borderId="1" applyAlignment="1" pivotButton="0" quotePrefix="0" xfId="0">
      <alignment horizontal="general" vertical="top" wrapText="1"/>
    </xf>
    <xf numFmtId="0" fontId="7" fillId="21" borderId="1" applyAlignment="1" pivotButton="0" quotePrefix="0" xfId="0">
      <alignment horizontal="general" vertical="top" wrapText="1"/>
    </xf>
    <xf numFmtId="0" fontId="7" fillId="22" borderId="1" applyAlignment="1" pivotButton="0" quotePrefix="0" xfId="0">
      <alignment horizontal="general" vertical="top" wrapText="1"/>
    </xf>
    <xf numFmtId="0" fontId="9" fillId="23" borderId="1" applyAlignment="1" pivotButton="0" quotePrefix="0" xfId="0">
      <alignment horizontal="general" vertical="top" wrapText="1"/>
    </xf>
    <xf numFmtId="0" fontId="7" fillId="24" borderId="1" applyAlignment="1" pivotButton="0" quotePrefix="0" xfId="0">
      <alignment horizontal="general" vertical="top" wrapText="1"/>
    </xf>
    <xf numFmtId="0" fontId="7" fillId="25" borderId="1" applyAlignment="1" pivotButton="0" quotePrefix="0" xfId="0">
      <alignment horizontal="general" vertical="top" wrapText="1"/>
    </xf>
    <xf numFmtId="0" fontId="7" fillId="26" borderId="1" applyAlignment="1" pivotButton="0" quotePrefix="0" xfId="0">
      <alignment horizontal="general" vertical="top" wrapText="1"/>
    </xf>
    <xf numFmtId="0" fontId="7" fillId="27" borderId="1" applyAlignment="1" pivotButton="0" quotePrefix="0" xfId="0">
      <alignment horizontal="general" vertical="top" wrapText="1"/>
    </xf>
    <xf numFmtId="0" fontId="7" fillId="28" borderId="1" applyAlignment="1" pivotButton="0" quotePrefix="0" xfId="0">
      <alignment horizontal="general" vertical="top" wrapText="1"/>
    </xf>
    <xf numFmtId="0" fontId="7" fillId="29" borderId="1" applyAlignment="1" pivotButton="0" quotePrefix="0" xfId="0">
      <alignment horizontal="general" vertical="top" wrapText="1"/>
    </xf>
    <xf numFmtId="0" fontId="9" fillId="30" borderId="1" applyAlignment="1" pivotButton="0" quotePrefix="0" xfId="0">
      <alignment horizontal="general" vertical="top" wrapText="1"/>
    </xf>
    <xf numFmtId="0" fontId="9" fillId="31" borderId="1" applyAlignment="1" pivotButton="0" quotePrefix="0" xfId="0">
      <alignment horizontal="general" vertical="top" wrapText="1"/>
    </xf>
    <xf numFmtId="0" fontId="7" fillId="32" borderId="1" applyAlignment="1" pivotButton="0" quotePrefix="0" xfId="0">
      <alignment horizontal="general" vertical="top" wrapText="1"/>
    </xf>
    <xf numFmtId="0" fontId="9" fillId="33" borderId="1" applyAlignment="1" pivotButton="0" quotePrefix="0" xfId="0">
      <alignment horizontal="general" vertical="top" wrapText="1"/>
    </xf>
    <xf numFmtId="0" fontId="9" fillId="34" borderId="1" applyAlignment="1" pivotButton="0" quotePrefix="0" xfId="0">
      <alignment horizontal="general" vertical="top" wrapText="1"/>
    </xf>
    <xf numFmtId="0" fontId="7" fillId="35" borderId="1" applyAlignment="1" pivotButton="0" quotePrefix="0" xfId="0">
      <alignment horizontal="general" vertical="top" wrapText="1"/>
    </xf>
    <xf numFmtId="0" fontId="7" fillId="36" borderId="1" applyAlignment="1" pivotButton="0" quotePrefix="0" xfId="0">
      <alignment horizontal="general" vertical="top" wrapText="1"/>
    </xf>
    <xf numFmtId="0" fontId="7" fillId="37"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7" fillId="2" borderId="1" applyAlignment="1" pivotButton="0" quotePrefix="0" xfId="0">
      <alignment horizontal="general" vertical="center" wrapText="1"/>
    </xf>
    <xf numFmtId="0" fontId="8"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9" fillId="7" borderId="1" applyAlignment="1" pivotButton="0" quotePrefix="0" xfId="0">
      <alignment horizontal="general" vertical="top" wrapText="1"/>
    </xf>
    <xf numFmtId="0" fontId="9" fillId="8" borderId="1" applyAlignment="1" pivotButton="0" quotePrefix="0" xfId="0">
      <alignment horizontal="general" vertical="top" wrapText="1"/>
    </xf>
    <xf numFmtId="0" fontId="9" fillId="9" borderId="1" applyAlignment="1" pivotButton="0" quotePrefix="0" xfId="0">
      <alignment horizontal="general" vertical="top" wrapText="1"/>
    </xf>
    <xf numFmtId="0" fontId="9" fillId="10" borderId="1" applyAlignment="1" pivotButton="0" quotePrefix="0" xfId="0">
      <alignment horizontal="general" vertical="top" wrapText="1"/>
    </xf>
    <xf numFmtId="0" fontId="9" fillId="11" borderId="1" applyAlignment="1" pivotButton="0" quotePrefix="0" xfId="0">
      <alignment horizontal="general" vertical="top" wrapText="1"/>
    </xf>
    <xf numFmtId="0" fontId="9"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9" fillId="14" borderId="1" applyAlignment="1" pivotButton="0" quotePrefix="0" xfId="0">
      <alignment horizontal="general" vertical="top" wrapText="1"/>
    </xf>
    <xf numFmtId="0" fontId="9" fillId="15" borderId="1" applyAlignment="1" pivotButton="0" quotePrefix="0" xfId="0">
      <alignment horizontal="general" vertical="top" wrapText="1"/>
    </xf>
    <xf numFmtId="0" fontId="9" fillId="16" borderId="1" applyAlignment="1" pivotButton="0" quotePrefix="0" xfId="0">
      <alignment horizontal="general" vertical="top" wrapText="1"/>
    </xf>
    <xf numFmtId="0" fontId="7" fillId="17" borderId="1" applyAlignment="1" pivotButton="0" quotePrefix="0" xfId="0">
      <alignment horizontal="general" vertical="top" wrapText="1"/>
    </xf>
    <xf numFmtId="0" fontId="9" fillId="18" borderId="1" applyAlignment="1" pivotButton="0" quotePrefix="0" xfId="0">
      <alignment horizontal="general" vertical="top" wrapText="1"/>
    </xf>
    <xf numFmtId="0" fontId="7" fillId="19" borderId="1" applyAlignment="1" pivotButton="0" quotePrefix="0" xfId="0">
      <alignment horizontal="general" vertical="top" wrapText="1"/>
    </xf>
    <xf numFmtId="0" fontId="7" fillId="20" borderId="1" applyAlignment="1" pivotButton="0" quotePrefix="0" xfId="0">
      <alignment horizontal="general" vertical="top" wrapText="1"/>
    </xf>
    <xf numFmtId="0" fontId="7" fillId="21" borderId="1" applyAlignment="1" pivotButton="0" quotePrefix="0" xfId="0">
      <alignment horizontal="general" vertical="top" wrapText="1"/>
    </xf>
    <xf numFmtId="0" fontId="7" fillId="22" borderId="1" applyAlignment="1" pivotButton="0" quotePrefix="0" xfId="0">
      <alignment horizontal="general" vertical="top" wrapText="1"/>
    </xf>
    <xf numFmtId="0" fontId="9" fillId="23" borderId="1" applyAlignment="1" pivotButton="0" quotePrefix="0" xfId="0">
      <alignment horizontal="general" vertical="top" wrapText="1"/>
    </xf>
    <xf numFmtId="0" fontId="7" fillId="24" borderId="1" applyAlignment="1" pivotButton="0" quotePrefix="0" xfId="0">
      <alignment horizontal="general" vertical="top" wrapText="1"/>
    </xf>
    <xf numFmtId="0" fontId="7" fillId="25" borderId="1" applyAlignment="1" pivotButton="0" quotePrefix="0" xfId="0">
      <alignment horizontal="general" vertical="top" wrapText="1"/>
    </xf>
    <xf numFmtId="0" fontId="7" fillId="26" borderId="1" applyAlignment="1" pivotButton="0" quotePrefix="0" xfId="0">
      <alignment horizontal="general" vertical="top" wrapText="1"/>
    </xf>
    <xf numFmtId="0" fontId="7" fillId="27" borderId="1" applyAlignment="1" pivotButton="0" quotePrefix="0" xfId="0">
      <alignment horizontal="general" vertical="top" wrapText="1"/>
    </xf>
    <xf numFmtId="0" fontId="7" fillId="28" borderId="1" applyAlignment="1" pivotButton="0" quotePrefix="0" xfId="0">
      <alignment horizontal="general" vertical="top" wrapText="1"/>
    </xf>
    <xf numFmtId="0" fontId="7" fillId="29" borderId="1" applyAlignment="1" pivotButton="0" quotePrefix="0" xfId="0">
      <alignment horizontal="general" vertical="top" wrapText="1"/>
    </xf>
    <xf numFmtId="0" fontId="9" fillId="30" borderId="1" applyAlignment="1" pivotButton="0" quotePrefix="0" xfId="0">
      <alignment horizontal="general" vertical="top" wrapText="1"/>
    </xf>
    <xf numFmtId="0" fontId="9" fillId="31" borderId="1" applyAlignment="1" pivotButton="0" quotePrefix="0" xfId="0">
      <alignment horizontal="general" vertical="top" wrapText="1"/>
    </xf>
    <xf numFmtId="0" fontId="7" fillId="32" borderId="1" applyAlignment="1" pivotButton="0" quotePrefix="0" xfId="0">
      <alignment horizontal="general" vertical="top" wrapText="1"/>
    </xf>
    <xf numFmtId="0" fontId="9" fillId="33" borderId="1" applyAlignment="1" pivotButton="0" quotePrefix="0" xfId="0">
      <alignment horizontal="general" vertical="top" wrapText="1"/>
    </xf>
    <xf numFmtId="0" fontId="9" fillId="34" borderId="1" applyAlignment="1" pivotButton="0" quotePrefix="0" xfId="0">
      <alignment horizontal="general" vertical="top" wrapText="1"/>
    </xf>
    <xf numFmtId="0" fontId="7" fillId="35" borderId="1" applyAlignment="1" pivotButton="0" quotePrefix="0" xfId="0">
      <alignment horizontal="general" vertical="top" wrapText="1"/>
    </xf>
    <xf numFmtId="0" fontId="7" fillId="36" borderId="1" applyAlignment="1" pivotButton="0" quotePrefix="0" xfId="0">
      <alignment horizontal="general" vertical="top" wrapText="1"/>
    </xf>
    <xf numFmtId="0" fontId="7" fillId="3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145A32"/>
          <bgColor rgb="FF000000"/>
        </patternFill>
      </fill>
    </dxf>
    <dxf>
      <fill>
        <patternFill patternType="solid">
          <fgColor rgb="FF17202A"/>
          <bgColor rgb="FF000000"/>
        </patternFill>
      </fill>
    </dxf>
    <dxf>
      <fill>
        <patternFill patternType="solid">
          <fgColor rgb="FF239B56"/>
          <bgColor rgb="FF000000"/>
        </patternFill>
      </fill>
    </dxf>
    <dxf>
      <fill>
        <patternFill patternType="solid">
          <fgColor rgb="FF2874A6"/>
          <bgColor rgb="FF000000"/>
        </patternFill>
      </fill>
    </dxf>
    <dxf>
      <fill>
        <patternFill patternType="solid">
          <fgColor rgb="FF333333"/>
          <bgColor rgb="FF000000"/>
        </patternFill>
      </fill>
    </dxf>
    <dxf>
      <fill>
        <patternFill patternType="solid">
          <fgColor rgb="FF3498DB"/>
          <bgColor rgb="FF000000"/>
        </patternFill>
      </fill>
    </dxf>
    <dxf>
      <fill>
        <patternFill patternType="solid">
          <fgColor rgb="FF48C9B0"/>
          <bgColor rgb="FF000000"/>
        </patternFill>
      </fill>
    </dxf>
    <dxf>
      <fill>
        <patternFill patternType="solid">
          <fgColor rgb="FF5499C7"/>
          <bgColor rgb="FF000000"/>
        </patternFill>
      </fill>
    </dxf>
    <dxf>
      <fill>
        <patternFill patternType="solid">
          <fgColor rgb="FF566573"/>
          <bgColor rgb="FF000000"/>
        </patternFill>
      </fill>
    </dxf>
    <dxf>
      <fill>
        <patternFill patternType="solid">
          <fgColor rgb="FF5DADE2"/>
          <bgColor rgb="FF000000"/>
        </patternFill>
      </fill>
    </dxf>
    <dxf>
      <fill>
        <patternFill patternType="solid">
          <fgColor rgb="FF6C3483"/>
          <bgColor rgb="FF000000"/>
        </patternFill>
      </fill>
    </dxf>
    <dxf>
      <fill>
        <patternFill patternType="solid">
          <fgColor rgb="FF7B241C"/>
          <bgColor rgb="FF000000"/>
        </patternFill>
      </fill>
    </dxf>
    <dxf>
      <fill>
        <patternFill patternType="solid">
          <fgColor rgb="FF7DCEA0"/>
          <bgColor rgb="FF000000"/>
        </patternFill>
      </fill>
    </dxf>
    <dxf>
      <fill>
        <patternFill patternType="solid">
          <fgColor rgb="FF7F8C8D"/>
          <bgColor rgb="FF000000"/>
        </patternFill>
      </fill>
    </dxf>
    <dxf>
      <fill>
        <patternFill patternType="solid">
          <fgColor rgb="FF85C1E9"/>
          <bgColor rgb="FF000000"/>
        </patternFill>
      </fill>
    </dxf>
    <dxf>
      <fill>
        <patternFill patternType="solid">
          <fgColor rgb="FF8E44AD"/>
          <bgColor rgb="FF000000"/>
        </patternFill>
      </fill>
    </dxf>
    <dxf>
      <fill>
        <patternFill patternType="solid">
          <fgColor rgb="FFA04000"/>
          <bgColor rgb="FF000000"/>
        </patternFill>
      </fill>
    </dxf>
    <dxf>
      <fill>
        <patternFill patternType="solid">
          <fgColor rgb="FFA569BD"/>
          <bgColor rgb="FF000000"/>
        </patternFill>
      </fill>
    </dxf>
    <dxf>
      <fill>
        <patternFill patternType="solid">
          <fgColor rgb="FFA9DFBF"/>
          <bgColor rgb="FF000000"/>
        </patternFill>
      </fill>
    </dxf>
    <dxf>
      <fill>
        <patternFill patternType="solid">
          <fgColor rgb="FFABB2B9"/>
          <bgColor rgb="FF000000"/>
        </patternFill>
      </fill>
    </dxf>
    <dxf>
      <fill>
        <patternFill patternType="solid">
          <fgColor rgb="FFABEBC6"/>
          <bgColor rgb="FF000000"/>
        </patternFill>
      </fill>
    </dxf>
    <dxf>
      <fill>
        <patternFill patternType="solid">
          <fgColor rgb="FFAF601A"/>
          <bgColor rgb="FF000000"/>
        </patternFill>
      </fill>
    </dxf>
    <dxf>
      <fill>
        <patternFill patternType="solid">
          <fgColor rgb="FFC0392B"/>
          <bgColor rgb="FF000000"/>
        </patternFill>
      </fill>
    </dxf>
    <dxf>
      <fill>
        <patternFill patternType="solid">
          <fgColor rgb="FFD68910"/>
          <bgColor rgb="FF000000"/>
        </patternFill>
      </fill>
    </dxf>
    <dxf>
      <fill>
        <patternFill patternType="solid">
          <fgColor rgb="FFD6EAF8"/>
          <bgColor rgb="FF000000"/>
        </patternFill>
      </fill>
    </dxf>
    <dxf>
      <fill>
        <patternFill patternType="solid">
          <fgColor rgb="FFE67E22"/>
          <bgColor rgb="FF000000"/>
        </patternFill>
      </fill>
    </dxf>
    <dxf>
      <fill>
        <patternFill patternType="solid">
          <fgColor rgb="FFE74C3C"/>
          <bgColor rgb="FF000000"/>
        </patternFill>
      </fill>
    </dxf>
    <dxf>
      <fill>
        <patternFill patternType="solid">
          <fgColor rgb="FFEC7063"/>
          <bgColor rgb="FF000000"/>
        </patternFill>
      </fill>
    </dxf>
    <dxf>
      <fill>
        <patternFill patternType="solid">
          <fgColor rgb="FFF1948A"/>
          <bgColor rgb="FF000000"/>
        </patternFill>
      </fill>
    </dxf>
    <dxf>
      <fill>
        <patternFill patternType="solid">
          <fgColor rgb="FFF39C12"/>
          <bgColor rgb="FF000000"/>
        </patternFill>
      </fill>
    </dxf>
    <dxf>
      <fill>
        <patternFill patternType="solid">
          <fgColor rgb="FFF4D03F"/>
          <bgColor rgb="FF000000"/>
        </patternFill>
      </fill>
    </dxf>
    <dxf>
      <fill>
        <patternFill patternType="solid">
          <fgColor rgb="FFF5B041"/>
          <bgColor rgb="FF000000"/>
        </patternFill>
      </fill>
    </dxf>
    <dxf>
      <fill>
        <patternFill patternType="solid">
          <fgColor rgb="FFF7DC6F"/>
          <bgColor rgb="FF000000"/>
        </patternFill>
      </fill>
    </dxf>
    <dxf>
      <fill>
        <patternFill patternType="solid">
          <fgColor rgb="FFF9E79F"/>
          <bgColor rgb="FF000000"/>
        </patternFill>
      </fill>
    </dxf>
    <dxf>
      <fill>
        <patternFill patternType="solid">
          <fgColor rgb="FFFF5733"/>
          <bgColor rgb="FF000000"/>
        </patternFill>
      </fill>
    </dxf>
    <dxf>
      <fill>
        <patternFill patternType="solid">
          <fgColor rgb="FF000000"/>
          <bgColor rgb="FF000000"/>
        </patternFill>
      </fill>
    </dxf>
  </dxfs>
  <colors>
    <indexedColors>
      <rgbColor rgb="FF000000"/>
      <rgbColor rgb="FFFFFFFF"/>
      <rgbColor rgb="FFC0392B"/>
      <rgbColor rgb="FF00FF00"/>
      <rgbColor rgb="FF0000FF"/>
      <rgbColor rgb="FFF5B041"/>
      <rgbColor rgb="FFFF00FF"/>
      <rgbColor rgb="FF00FFFF"/>
      <rgbColor rgb="FF7B241C"/>
      <rgbColor rgb="FF145A32"/>
      <rgbColor rgb="FF000080"/>
      <rgbColor rgb="FFAF601A"/>
      <rgbColor rgb="FF800080"/>
      <rgbColor rgb="FF2874A6"/>
      <rgbColor rgb="FFBFBFBF"/>
      <rgbColor rgb="FF7F8C8D"/>
      <rgbColor rgb="FF5DADE2"/>
      <rgbColor rgb="FF6C3483"/>
      <rgbColor rgb="FFFFFFCC"/>
      <rgbColor rgb="FFD6EAF8"/>
      <rgbColor rgb="FF660066"/>
      <rgbColor rgb="FFF1948A"/>
      <rgbColor rgb="FF0066CC"/>
      <rgbColor rgb="FFA9DFBF"/>
      <rgbColor rgb="FF000080"/>
      <rgbColor rgb="FFFF00FF"/>
      <rgbColor rgb="FFD68910"/>
      <rgbColor rgb="FF00FFFF"/>
      <rgbColor rgb="FF800080"/>
      <rgbColor rgb="FFE74C3C"/>
      <rgbColor rgb="FF5499C7"/>
      <rgbColor rgb="FF0000FF"/>
      <rgbColor rgb="FF00CCFF"/>
      <rgbColor rgb="FFCCFFFF"/>
      <rgbColor rgb="FFABEBC6"/>
      <rgbColor rgb="FFF9E79F"/>
      <rgbColor rgb="FF85C1E9"/>
      <rgbColor rgb="FFEC7063"/>
      <rgbColor rgb="FFA569BD"/>
      <rgbColor rgb="FFF7DC6F"/>
      <rgbColor rgb="FF3498DB"/>
      <rgbColor rgb="FF48C9B0"/>
      <rgbColor rgb="FF7DCEA0"/>
      <rgbColor rgb="FFF4D03F"/>
      <rgbColor rgb="FFF39C12"/>
      <rgbColor rgb="FFFF5733"/>
      <rgbColor rgb="FF566573"/>
      <rgbColor rgb="FFABB2B9"/>
      <rgbColor rgb="FF1F3864"/>
      <rgbColor rgb="FF239B56"/>
      <rgbColor rgb="FF17202A"/>
      <rgbColor rgb="FFE67E22"/>
      <rgbColor rgb="FFA04000"/>
      <rgbColor rgb="FF8E44AD"/>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41" min="1" max="1"/>
    <col width="110" customWidth="1" style="41" min="2" max="2"/>
  </cols>
  <sheetData>
    <row r="1" ht="17.35" customHeight="1" s="42">
      <c r="A1" s="43" t="inlineStr">
        <is>
          <t>Lab Waste Segregator - taxonomy and item table</t>
        </is>
      </c>
    </row>
    <row r="2" ht="23.85" customHeight="1" s="42">
      <c r="A2" s="44" t="inlineStr">
        <is>
          <t>Purpose</t>
        </is>
      </c>
      <c r="B2" s="45" t="inlineStr">
        <is>
          <t>Starter data for a rule-based lab waste segregator. The rules decide the bin; an LLM (if used) only parses messy input and explains the answer.</t>
        </is>
      </c>
    </row>
    <row r="3" ht="23.85" customHeight="1" s="42">
      <c r="A3" s="44" t="inlineStr">
        <is>
          <t>Status</t>
        </is>
      </c>
      <c r="B3" s="45" t="inlineStr">
        <is>
          <t>DRAFT. Categories, containers and colours are ILLUSTRATIVE (UK-style defaults). Replace them with your institution's waste policy before relying on any output.</t>
        </is>
      </c>
    </row>
    <row r="4" ht="23.85" customHeight="1" s="42">
      <c r="A4" s="44" t="inlineStr">
        <is>
          <t>Confidence column</t>
        </is>
      </c>
      <c r="B4" s="45" t="inlineStr">
        <is>
          <t>High = standard across most institutions. Medium = common practice, local policy varies. Verify locally = policy differs materially between sites; confirm before use.</t>
        </is>
      </c>
    </row>
    <row r="5" ht="23.85" customHeight="1" s="42">
      <c r="A5" s="44" t="inlineStr">
        <is>
          <t>Editing</t>
        </is>
      </c>
      <c r="B5" s="45" t="inlineStr">
        <is>
          <t>Blue text = editable inputs. Black text = formulas (category name and container are looked up from the Categories sheet, so changing a container there updates every item).</t>
        </is>
      </c>
    </row>
    <row r="6" ht="35.05" customHeight="1" s="42">
      <c r="A6" s="44" t="inlineStr">
        <is>
          <t>Sheets</t>
        </is>
      </c>
      <c r="B6" s="45" t="inlineStr">
        <is>
          <t>Categories (every waste type, with its primary route and item count) | Routes (what happens to waste after it leaves your hands) | Items (one row per waste item) | Incompatibilities (pairwise mixing rules on hazard flags) | Workflows (experiment mode: what each experiment generates).</t>
        </is>
      </c>
    </row>
    <row r="7" ht="35.05" customHeight="1" s="42">
      <c r="A7" s="44" t="inlineStr">
        <is>
          <t>Routes</t>
        </is>
      </c>
      <c r="B7" s="45" t="inlineStr">
        <is>
          <t>Each category has one primary route (Categories column I). Some have a secondary option described in Routes, e.g. BIO-LIQ can be chemically inactivated then drained (R04) or autoclaved (R02); BIO-AUT can use alternative treatment (R08) at sites without an autoclave. Filter Categories by Route ID to see which waste types share a route.</t>
        </is>
      </c>
    </row>
    <row r="8" ht="23.85" customHeight="1" s="42">
      <c r="A8" s="44" t="inlineStr">
        <is>
          <t>Engine logic</t>
        </is>
      </c>
      <c r="B8" s="45" t="inlineStr">
        <is>
          <t>1) Match user input to an Item (search terms). 2) Return its Category and handling steps. 3) Apply hard constraints below. 4) For mixed containers, check every flag pair in Incompatibilities. 5) If no confident match, return UNK.</t>
        </is>
      </c>
    </row>
    <row r="9" ht="23.85" customHeight="1" s="42">
      <c r="A9" s="44" t="inlineStr">
        <is>
          <t>Hard constraints</t>
        </is>
      </c>
      <c r="B9" s="45" t="inlineStr">
        <is>
          <t>Items flagged NO_DRAIN can never route to a category with DRAIN_ROUTE. Items flagged NO_AUTOCLAVE can never route to a category with AUTOCLAVE_ROUTE. Items flagged CYTOTOXIC or CMR never share a container with anything outside their stream.</t>
        </is>
      </c>
    </row>
    <row r="10" ht="46.25" customHeight="1" s="42">
      <c r="A10" s="44" t="inlineStr">
        <is>
          <t>Flag vocabulary</t>
        </is>
      </c>
      <c r="B10" s="45" t="inlineStr">
        <is>
          <t>BIOHAZARD, GM, SHARP, FLAMMABLE, ORGANIC, NONHAL, HALOGENATED, PHENOL, GUANIDINE, AZIDE, AMMONIA, ACID, BASE, BLEACH, OXIDISER, FORMALDEHYDE, CORROSIVE, TOXIC, IRRITANT, CARCINOGEN, MUTAGEN, CYTOTOXIC, RADIOACTIVE, WATER_REACTIVE, PEROXIDE_FORMER, EXPLOSIVE, HEAVY_METAL, PRESSURISED, NO_DRAIN, NO_AUTOCLAVE. CMR in Incompatibilities means any of CARCINOGEN, MUTAGEN.</t>
        </is>
      </c>
    </row>
    <row r="11" ht="23.85" customHeight="1" s="42">
      <c r="A11" s="44" t="inlineStr">
        <is>
          <t>Out of scope</t>
        </is>
      </c>
      <c r="B11" s="45" t="inlineStr">
        <is>
          <t>Radioactive, animal and high-containment waste appear as escalate-only categories (RAD, ANI, HICON): the tool names them but never classifies or advises on handling beyond escalating. Controlled drugs also need a separate legal process.</t>
        </is>
      </c>
    </row>
    <row r="12" ht="35.05" customHeight="1" s="42">
      <c r="A12" s="44" t="inlineStr">
        <is>
          <t>Assumptions</t>
        </is>
      </c>
      <c r="B12" s="45" t="inlineStr">
        <is>
          <t>Hazard flags and rules are written from general lab-safety practice and are not copied from any one institution's policy. Cross-check chemical hazards against the supplier SDS or PubChem GHS data, and clinical waste colours against local guidance (e.g. UK HTM 07-01).</t>
        </is>
      </c>
    </row>
    <row r="13" ht="15" customHeight="1" s="42">
      <c r="A13" s="44" t="inlineStr">
        <is>
          <t>Example row</t>
        </is>
      </c>
      <c r="B13" s="45" t="inlineStr">
        <is>
          <t>See Items row 2 (I001): a typical entry showing ID, search terms, category ID, handling, flags, 'do not' note, rationale and confidence.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3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1" min="1" max="1"/>
    <col width="34" customWidth="1" style="41" min="2" max="2"/>
    <col width="50" customWidth="1" style="41" min="3" max="3"/>
    <col width="34" customWidth="1" style="41" min="4" max="4"/>
    <col width="12" customWidth="1" style="41" min="5" max="5"/>
    <col width="60" customWidth="1" style="41" min="6" max="6"/>
    <col width="44" customWidth="1" style="41" min="7" max="7"/>
    <col width="20" customWidth="1" style="41" min="8" max="8"/>
    <col width="10" customWidth="1" style="41" min="9" max="9"/>
    <col width="38" customWidth="1" style="41" min="10" max="10"/>
    <col width="10" customWidth="1" style="41" min="11" max="11"/>
  </cols>
  <sheetData>
    <row r="1" ht="30" customHeight="1" s="42">
      <c r="A1" s="46" t="inlineStr">
        <is>
          <t>Category ID</t>
        </is>
      </c>
      <c r="B1" s="46" t="inlineStr">
        <is>
          <t>Name</t>
        </is>
      </c>
      <c r="C1" s="46" t="inlineStr">
        <is>
          <t>Includes</t>
        </is>
      </c>
      <c r="D1" s="46" t="inlineStr">
        <is>
          <t>Container (illustrative)</t>
        </is>
      </c>
      <c r="E1" s="46" t="inlineStr">
        <is>
          <t>Colour (hex)</t>
        </is>
      </c>
      <c r="F1" s="46" t="inlineStr">
        <is>
          <t>Handling rules</t>
        </is>
      </c>
      <c r="G1" s="46" t="inlineStr">
        <is>
          <t>Escalation / notes</t>
        </is>
      </c>
      <c r="H1" s="46" t="inlineStr">
        <is>
          <t>Route flag</t>
        </is>
      </c>
      <c r="I1" s="46" t="inlineStr">
        <is>
          <t>Route ID</t>
        </is>
      </c>
      <c r="J1" s="46" t="inlineStr">
        <is>
          <t>Primary route</t>
        </is>
      </c>
      <c r="K1" s="46" t="inlineStr">
        <is>
          <t>Items (#)</t>
        </is>
      </c>
    </row>
    <row r="2" ht="23.85" customHeight="1" s="42">
      <c r="A2" s="44" t="inlineStr">
        <is>
          <t>GEN</t>
        </is>
      </c>
      <c r="B2" s="47" t="inlineStr">
        <is>
          <t>General (non-hazardous) waste</t>
        </is>
      </c>
      <c r="C2" s="47" t="inlineStr">
        <is>
          <t>Items with no biological, chemical or radiological contact</t>
        </is>
      </c>
      <c r="D2" s="47" t="inlineStr">
        <is>
          <t>Black bag</t>
        </is>
      </c>
      <c r="E2" s="48" t="inlineStr">
        <is>
          <t>333333</t>
        </is>
      </c>
      <c r="F2" s="47" t="inlineStr">
        <is>
          <t>Only for genuinely uncontaminated items. If in doubt, do not default to this bin.</t>
        </is>
      </c>
      <c r="G2" s="47" t="inlineStr">
        <is>
          <t>If any doubt, choose UNK, not GEN.</t>
        </is>
      </c>
      <c r="H2" s="47" t="n"/>
      <c r="I2" s="47" t="inlineStr">
        <is>
          <t>R29</t>
        </is>
      </c>
      <c r="J2" s="45">
        <f>INDEX(Routes!$C$2:$C$39,MATCH(I2,Routes!$A$2:$A$39,0))</f>
        <v/>
      </c>
      <c r="K2" s="45">
        <f>COUNTIF(Items!$D$2:$D$86,A2)</f>
        <v/>
      </c>
    </row>
    <row r="3" ht="23.85" customHeight="1" s="42">
      <c r="A3" s="44" t="inlineStr">
        <is>
          <t>REC</t>
        </is>
      </c>
      <c r="B3" s="47" t="inlineStr">
        <is>
          <t>Dry recycling</t>
        </is>
      </c>
      <c r="C3" s="47" t="inlineStr">
        <is>
          <t>Clean cardboard, paper and clean unused plastic packaging</t>
        </is>
      </c>
      <c r="D3" s="47" t="inlineStr">
        <is>
          <t>Recycling bin (blue)</t>
        </is>
      </c>
      <c r="E3" s="49" t="inlineStr">
        <is>
          <t>2874A6</t>
        </is>
      </c>
      <c r="F3" s="47" t="inlineStr">
        <is>
          <t>Empty, dry, hazard labels removed.</t>
        </is>
      </c>
      <c r="G3" s="47" t="inlineStr">
        <is>
          <t>Anything that touched samples or reagents is not recycling.</t>
        </is>
      </c>
      <c r="H3" s="47" t="n"/>
      <c r="I3" s="47" t="inlineStr">
        <is>
          <t>R26</t>
        </is>
      </c>
      <c r="J3" s="45">
        <f>INDEX(Routes!$C$2:$C$39,MATCH(I3,Routes!$A$2:$A$39,0))</f>
        <v/>
      </c>
      <c r="K3" s="45">
        <f>COUNTIF(Items!$D$2:$D$86,A3)</f>
        <v/>
      </c>
    </row>
    <row r="4" ht="23.85" customHeight="1" s="42">
      <c r="A4" s="44" t="inlineStr">
        <is>
          <t>GLS</t>
        </is>
      </c>
      <c r="B4" s="47" t="inlineStr">
        <is>
          <t>Clean glass</t>
        </is>
      </c>
      <c r="C4" s="47" t="inlineStr">
        <is>
          <t>Uncontaminated glass, rinsed empty bottles, uncontaminated broken glass</t>
        </is>
      </c>
      <c r="D4" s="47" t="inlineStr">
        <is>
          <t>Glass / broken-glass box</t>
        </is>
      </c>
      <c r="E4" s="50" t="inlineStr">
        <is>
          <t>7DCEA0</t>
        </is>
      </c>
      <c r="F4" s="47" t="inlineStr">
        <is>
          <t>Triple-rinse empty chemical bottles (rinsate goes to the correct liquid stream), deface labels. Broken glass goes in a rigid box, never a bag.</t>
        </is>
      </c>
      <c r="G4" s="47" t="inlineStr">
        <is>
          <t>Contaminated glass goes to a sharps category instead.</t>
        </is>
      </c>
      <c r="H4" s="47" t="n"/>
      <c r="I4" s="47" t="inlineStr">
        <is>
          <t>R27</t>
        </is>
      </c>
      <c r="J4" s="45">
        <f>INDEX(Routes!$C$2:$C$39,MATCH(I4,Routes!$A$2:$A$39,0))</f>
        <v/>
      </c>
      <c r="K4" s="45">
        <f>COUNTIF(Items!$D$2:$D$86,A4)</f>
        <v/>
      </c>
    </row>
    <row r="5" ht="23.85" customHeight="1" s="42">
      <c r="A5" s="44" t="inlineStr">
        <is>
          <t>BIO-AUT</t>
        </is>
      </c>
      <c r="B5" s="47" t="inlineStr">
        <is>
          <t>Biological solids - autoclave route</t>
        </is>
      </c>
      <c r="C5" s="47" t="inlineStr">
        <is>
          <t>Consumables that touched non-GM biological material (cell culture, lysates, PCR template)</t>
        </is>
      </c>
      <c r="D5" s="47" t="inlineStr">
        <is>
          <t>Autoclave bag in rigid bin (orange / per local scheme)</t>
        </is>
      </c>
      <c r="E5" s="51" t="inlineStr">
        <is>
          <t>F39C12</t>
        </is>
      </c>
      <c r="F5" s="47" t="inlineStr">
        <is>
          <t>Aspirate free liquid first. Bag loosely, add autoclave indicator tape, autoclave before disposal.</t>
        </is>
      </c>
      <c r="G5" s="47" t="inlineStr">
        <is>
          <t>Never add solvents, bleach, guanidinium, formaldehyde or cytotoxics.</t>
        </is>
      </c>
      <c r="H5" s="47" t="inlineStr">
        <is>
          <t>AUTOCLAVE_ROUTE</t>
        </is>
      </c>
      <c r="I5" s="47" t="inlineStr">
        <is>
          <t>R01</t>
        </is>
      </c>
      <c r="J5" s="45">
        <f>INDEX(Routes!$C$2:$C$39,MATCH(I5,Routes!$A$2:$A$39,0))</f>
        <v/>
      </c>
      <c r="K5" s="45">
        <f>COUNTIF(Items!$D$2:$D$86,A5)</f>
        <v/>
      </c>
    </row>
    <row r="6" ht="23.85" customHeight="1" s="42">
      <c r="A6" s="44" t="inlineStr">
        <is>
          <t>BIO-GM</t>
        </is>
      </c>
      <c r="B6" s="47" t="inlineStr">
        <is>
          <t>GM / transduced material - inactivate</t>
        </is>
      </c>
      <c r="C6" s="47" t="inlineStr">
        <is>
          <t>Transfected or virally transduced cells and GM-contaminated consumables and liquids</t>
        </is>
      </c>
      <c r="D6" s="47" t="inlineStr">
        <is>
          <t>Labelled GM autoclave bag</t>
        </is>
      </c>
      <c r="E6" s="52" t="inlineStr">
        <is>
          <t>D68910</t>
        </is>
      </c>
      <c r="F6" s="47" t="inlineStr">
        <is>
          <t>Inactivate (validated autoclave cycle or chemical) before it leaves the lab. Viral vectors follow the containment-level SOP. Label as GM.</t>
        </is>
      </c>
      <c r="G6" s="47" t="inlineStr">
        <is>
          <t>Follow the lab's GM risk assessment.</t>
        </is>
      </c>
      <c r="H6" s="47" t="inlineStr">
        <is>
          <t>AUTOCLAVE_ROUTE</t>
        </is>
      </c>
      <c r="I6" s="47" t="inlineStr">
        <is>
          <t>R03</t>
        </is>
      </c>
      <c r="J6" s="45">
        <f>INDEX(Routes!$C$2:$C$39,MATCH(I6,Routes!$A$2:$A$39,0))</f>
        <v/>
      </c>
      <c r="K6" s="45">
        <f>COUNTIF(Items!$D$2:$D$86,A6)</f>
        <v/>
      </c>
    </row>
    <row r="7" ht="23.85" customHeight="1" s="42">
      <c r="A7" s="44" t="inlineStr">
        <is>
          <t>BIO-INC</t>
        </is>
      </c>
      <c r="B7" s="47" t="inlineStr">
        <is>
          <t>Biological - incineration</t>
        </is>
      </c>
      <c r="C7" s="47" t="inlineStr">
        <is>
          <t>Human or animal tissue, FFPE blocks, unfixed samples, anatomical waste</t>
        </is>
      </c>
      <c r="D7" s="47" t="inlineStr">
        <is>
          <t>Yellow clinical waste bin / bag</t>
        </is>
      </c>
      <c r="E7" s="53" t="inlineStr">
        <is>
          <t>F4D03F</t>
        </is>
      </c>
      <c r="F7" s="47" t="inlineStr">
        <is>
          <t>Seal, label, hold for clinical waste collection.</t>
        </is>
      </c>
      <c r="G7" s="47" t="inlineStr">
        <is>
          <t>Follow the institution's human tissue and clinical waste policy.</t>
        </is>
      </c>
      <c r="H7" s="47" t="inlineStr">
        <is>
          <t>INCINERATION_ROUTE</t>
        </is>
      </c>
      <c r="I7" s="47" t="inlineStr">
        <is>
          <t>R07</t>
        </is>
      </c>
      <c r="J7" s="45">
        <f>INDEX(Routes!$C$2:$C$39,MATCH(I7,Routes!$A$2:$A$39,0))</f>
        <v/>
      </c>
      <c r="K7" s="45">
        <f>COUNTIF(Items!$D$2:$D$86,A7)</f>
        <v/>
      </c>
    </row>
    <row r="8" ht="35.05" customHeight="1" s="42">
      <c r="A8" s="44" t="inlineStr">
        <is>
          <t>BIO-LIQ</t>
        </is>
      </c>
      <c r="B8" s="47" t="inlineStr">
        <is>
          <t>Biological liquids</t>
        </is>
      </c>
      <c r="C8" s="47" t="inlineStr">
        <is>
          <t>Aspirated media, supernatants, PBS/trypsin washes with biological material and no hazardous additives</t>
        </is>
      </c>
      <c r="D8" s="47" t="inlineStr">
        <is>
          <t>Aspirator flask containing disinfectant</t>
        </is>
      </c>
      <c r="E8" s="54" t="inlineStr">
        <is>
          <t>48C9B0</t>
        </is>
      </c>
      <c r="F8" s="47" t="inlineStr">
        <is>
          <t>Inactivate with hypochlorite at the validated concentration and contact time in your SOP, then drain; or autoclave in a suitable vessel (never once bleach is added).</t>
        </is>
      </c>
      <c r="G8" s="47" t="inlineStr">
        <is>
          <t>Hazardous additives (solvents, guanidinium, azide, cytotoxics) mean it is NOT this category.</t>
        </is>
      </c>
      <c r="H8" s="47" t="n"/>
      <c r="I8" s="47" t="inlineStr">
        <is>
          <t>R04</t>
        </is>
      </c>
      <c r="J8" s="45">
        <f>INDEX(Routes!$C$2:$C$39,MATCH(I8,Routes!$A$2:$A$39,0))</f>
        <v/>
      </c>
      <c r="K8" s="45">
        <f>COUNTIF(Items!$D$2:$D$86,A8)</f>
        <v/>
      </c>
    </row>
    <row r="9" ht="23.85" customHeight="1" s="42">
      <c r="A9" s="44" t="inlineStr">
        <is>
          <t>SHP-INF</t>
        </is>
      </c>
      <c r="B9" s="47" t="inlineStr">
        <is>
          <t>Sharps - biological</t>
        </is>
      </c>
      <c r="C9" s="47" t="inlineStr">
        <is>
          <t>Needles, scalpel blades, broken glass or slides contaminated with biological material</t>
        </is>
      </c>
      <c r="D9" s="47" t="inlineStr">
        <is>
          <t>Sharps bin (orange lid)</t>
        </is>
      </c>
      <c r="E9" s="55" t="inlineStr">
        <is>
          <t>E67E22</t>
        </is>
      </c>
      <c r="F9" s="47" t="inlineStr">
        <is>
          <t>Do not recap or bend. Fill to the line only. Close and label when full.</t>
        </is>
      </c>
      <c r="G9" s="47" t="n"/>
      <c r="H9" s="47" t="n"/>
      <c r="I9" s="47" t="inlineStr">
        <is>
          <t>R10</t>
        </is>
      </c>
      <c r="J9" s="45">
        <f>INDEX(Routes!$C$2:$C$39,MATCH(I9,Routes!$A$2:$A$39,0))</f>
        <v/>
      </c>
      <c r="K9" s="45">
        <f>COUNTIF(Items!$D$2:$D$86,A9)</f>
        <v/>
      </c>
    </row>
    <row r="10" ht="23.85" customHeight="1" s="42">
      <c r="A10" s="44" t="inlineStr">
        <is>
          <t>SHP-CHEM</t>
        </is>
      </c>
      <c r="B10" s="47" t="inlineStr">
        <is>
          <t>Sharps - chemical / fixative</t>
        </is>
      </c>
      <c r="C10" s="47" t="inlineStr">
        <is>
          <t>Sharps and fragile glass contaminated with chemicals, fixatives or mounting media</t>
        </is>
      </c>
      <c r="D10" s="47" t="inlineStr">
        <is>
          <t>Sharps bin (yellow lid)</t>
        </is>
      </c>
      <c r="E10" s="56" t="inlineStr">
        <is>
          <t>F7DC6F</t>
        </is>
      </c>
      <c r="F10" s="47" t="inlineStr">
        <is>
          <t>As for biological sharps; write the contaminant on the label.</t>
        </is>
      </c>
      <c r="G10" s="47" t="inlineStr">
        <is>
          <t>CMR-contaminated sharps: label clearly and notify the waste coordinator.</t>
        </is>
      </c>
      <c r="H10" s="47" t="n"/>
      <c r="I10" s="47" t="inlineStr">
        <is>
          <t>R11</t>
        </is>
      </c>
      <c r="J10" s="45">
        <f>INDEX(Routes!$C$2:$C$39,MATCH(I10,Routes!$A$2:$A$39,0))</f>
        <v/>
      </c>
      <c r="K10" s="45">
        <f>COUNTIF(Items!$D$2:$D$86,A10)</f>
        <v/>
      </c>
    </row>
    <row r="11" ht="23.85" customHeight="1" s="42">
      <c r="A11" s="44" t="inlineStr">
        <is>
          <t>CHEM-NH</t>
        </is>
      </c>
      <c r="B11" s="47" t="inlineStr">
        <is>
          <t>Non-halogenated solvents</t>
        </is>
      </c>
      <c r="C11" s="47" t="inlineStr">
        <is>
          <t>Ethanol, methanol, isopropanol, acetone, acetonitrile, xylene, DMSO and mixtures of these</t>
        </is>
      </c>
      <c r="D11" s="47" t="inlineStr">
        <is>
          <t>Flammable solvent carboy</t>
        </is>
      </c>
      <c r="E11" s="57" t="inlineStr">
        <is>
          <t>5DADE2</t>
        </is>
      </c>
      <c r="F11" s="47" t="inlineStr">
        <is>
          <t>Keep halogenated solvents out. Vented cap, fume cupboard for decanting, list every constituent on the label.</t>
        </is>
      </c>
      <c r="G11" s="47" t="inlineStr">
        <is>
          <t>Never add oxidisers (bleach, nitric acid, peroxide).</t>
        </is>
      </c>
      <c r="H11" s="47" t="n"/>
      <c r="I11" s="47" t="inlineStr">
        <is>
          <t>R15</t>
        </is>
      </c>
      <c r="J11" s="45">
        <f>INDEX(Routes!$C$2:$C$39,MATCH(I11,Routes!$A$2:$A$39,0))</f>
        <v/>
      </c>
      <c r="K11" s="45">
        <f>COUNTIF(Items!$D$2:$D$86,A11)</f>
        <v/>
      </c>
    </row>
    <row r="12" ht="23.85" customHeight="1" s="42">
      <c r="A12" s="44" t="inlineStr">
        <is>
          <t>CHEM-HAL</t>
        </is>
      </c>
      <c r="B12" s="47" t="inlineStr">
        <is>
          <t>Halogenated solvents (incl. phenol-chloroform)</t>
        </is>
      </c>
      <c r="C12" s="47" t="inlineStr">
        <is>
          <t>Chloroform, dichloromethane, phenol-chloroform, TRIzol organic phase</t>
        </is>
      </c>
      <c r="D12" s="47" t="inlineStr">
        <is>
          <t>Halogenated solvent carboy (glass / solvent-resistant)</t>
        </is>
      </c>
      <c r="E12" s="58" t="inlineStr">
        <is>
          <t>A569BD</t>
        </is>
      </c>
      <c r="F12" s="47" t="inlineStr">
        <is>
          <t>Fume cupboard. Keep separate from non-halogenated solvents (different disposal route).</t>
        </is>
      </c>
      <c r="G12" s="47" t="inlineStr">
        <is>
          <t>Never bleach or acidify.</t>
        </is>
      </c>
      <c r="H12" s="47" t="n"/>
      <c r="I12" s="47" t="inlineStr">
        <is>
          <t>R16</t>
        </is>
      </c>
      <c r="J12" s="45">
        <f>INDEX(Routes!$C$2:$C$39,MATCH(I12,Routes!$A$2:$A$39,0))</f>
        <v/>
      </c>
      <c r="K12" s="45">
        <f>COUNTIF(Items!$D$2:$D$86,A12)</f>
        <v/>
      </c>
    </row>
    <row r="13" ht="23.85" customHeight="1" s="42">
      <c r="A13" s="44" t="inlineStr">
        <is>
          <t>CHEM-AQ</t>
        </is>
      </c>
      <c r="B13" s="47" t="inlineStr">
        <is>
          <t>Hazardous aqueous</t>
        </is>
      </c>
      <c r="C13" s="47" t="inlineStr">
        <is>
          <t>Aqueous solutions with toxic or irritant solutes (azide, iodoacetamide, detergent lysates, reactive reagents)</t>
        </is>
      </c>
      <c r="D13" s="47" t="inlineStr">
        <is>
          <t>Labelled aqueous waste carboy</t>
        </is>
      </c>
      <c r="E13" s="59" t="inlineStr">
        <is>
          <t>85C1E9</t>
        </is>
      </c>
      <c r="F13" s="47" t="inlineStr">
        <is>
          <t>Collect, list all constituents, keep azide away from acids and metal.</t>
        </is>
      </c>
      <c r="G13" s="47" t="inlineStr">
        <is>
          <t>Never down the drain.</t>
        </is>
      </c>
      <c r="H13" s="47" t="n"/>
      <c r="I13" s="47" t="inlineStr">
        <is>
          <t>R18</t>
        </is>
      </c>
      <c r="J13" s="45">
        <f>INDEX(Routes!$C$2:$C$39,MATCH(I13,Routes!$A$2:$A$39,0))</f>
        <v/>
      </c>
      <c r="K13" s="45">
        <f>COUNTIF(Items!$D$2:$D$86,A13)</f>
        <v/>
      </c>
    </row>
    <row r="14" ht="23.85" customHeight="1" s="42">
      <c r="A14" s="44" t="inlineStr">
        <is>
          <t>CHEM-ACID</t>
        </is>
      </c>
      <c r="B14" s="47" t="inlineStr">
        <is>
          <t>Acid waste</t>
        </is>
      </c>
      <c r="C14" s="47" t="inlineStr">
        <is>
          <t>Strong or concentrated acids (HCl, H2SO4, HNO3, neat TFA or formic acid)</t>
        </is>
      </c>
      <c r="D14" s="47" t="inlineStr">
        <is>
          <t>Acid-compatible labelled carboy</t>
        </is>
      </c>
      <c r="E14" s="60" t="inlineStr">
        <is>
          <t>EC7063</t>
        </is>
      </c>
      <c r="F14" s="47" t="inlineStr">
        <is>
          <t>Keep apart from bases, bleach, azide, cyanides and organics.</t>
        </is>
      </c>
      <c r="G14" s="47" t="inlineStr">
        <is>
          <t>Do not neutralise unless your SOP permits.</t>
        </is>
      </c>
      <c r="H14" s="47" t="n"/>
      <c r="I14" s="47" t="inlineStr">
        <is>
          <t>R19</t>
        </is>
      </c>
      <c r="J14" s="45">
        <f>INDEX(Routes!$C$2:$C$39,MATCH(I14,Routes!$A$2:$A$39,0))</f>
        <v/>
      </c>
      <c r="K14" s="45">
        <f>COUNTIF(Items!$D$2:$D$86,A14)</f>
        <v/>
      </c>
    </row>
    <row r="15" ht="23.85" customHeight="1" s="42">
      <c r="A15" s="44" t="inlineStr">
        <is>
          <t>CHEM-BASE</t>
        </is>
      </c>
      <c r="B15" s="47" t="inlineStr">
        <is>
          <t>Alkaline waste</t>
        </is>
      </c>
      <c r="C15" s="47" t="inlineStr">
        <is>
          <t>Strong bases (NaOH, KOH solutions roughly pH 11 and above)</t>
        </is>
      </c>
      <c r="D15" s="47" t="inlineStr">
        <is>
          <t>Base-compatible labelled carboy</t>
        </is>
      </c>
      <c r="E15" s="61" t="inlineStr">
        <is>
          <t>F1948A</t>
        </is>
      </c>
      <c r="F15" s="47" t="inlineStr">
        <is>
          <t>Keep apart from acids and aluminium.</t>
        </is>
      </c>
      <c r="G15" s="47" t="inlineStr">
        <is>
          <t>Do not neutralise unless your SOP permits.</t>
        </is>
      </c>
      <c r="H15" s="47" t="n"/>
      <c r="I15" s="47" t="inlineStr">
        <is>
          <t>R20</t>
        </is>
      </c>
      <c r="J15" s="45">
        <f>INDEX(Routes!$C$2:$C$39,MATCH(I15,Routes!$A$2:$A$39,0))</f>
        <v/>
      </c>
      <c r="K15" s="45">
        <f>COUNTIF(Items!$D$2:$D$86,A15)</f>
        <v/>
      </c>
    </row>
    <row r="16" ht="35.05" customHeight="1" s="42">
      <c r="A16" s="44" t="inlineStr">
        <is>
          <t>CHEM-GUA</t>
        </is>
      </c>
      <c r="B16" s="47" t="inlineStr">
        <is>
          <t>Guanidinium / phenol lysis waste</t>
        </is>
      </c>
      <c r="C16" s="47" t="inlineStr">
        <is>
          <t>TRIzol and TRI Reagent aqueous phase and lysate, guanidinium-containing kit lysis and binding buffers and flow-through</t>
        </is>
      </c>
      <c r="D16" s="47" t="inlineStr">
        <is>
          <t>Dedicated labelled carboy (not shared with bleach waste)</t>
        </is>
      </c>
      <c r="E16" s="62" t="inlineStr">
        <is>
          <t>AF601A</t>
        </is>
      </c>
      <c r="F16" s="47" t="inlineStr">
        <is>
          <t>Own stream. Never bleach, never acidify, never autoclave.</t>
        </is>
      </c>
      <c r="G16" s="47" t="inlineStr">
        <is>
          <t>Check the kit safety sheet for which buffers contain guanidinium.</t>
        </is>
      </c>
      <c r="H16" s="47" t="n"/>
      <c r="I16" s="47" t="inlineStr">
        <is>
          <t>R17</t>
        </is>
      </c>
      <c r="J16" s="45">
        <f>INDEX(Routes!$C$2:$C$39,MATCH(I16,Routes!$A$2:$A$39,0))</f>
        <v/>
      </c>
      <c r="K16" s="45">
        <f>COUNTIF(Items!$D$2:$D$86,A16)</f>
        <v/>
      </c>
    </row>
    <row r="17" ht="23.85" customHeight="1" s="42">
      <c r="A17" s="44" t="inlineStr">
        <is>
          <t>CHEM-SOL</t>
        </is>
      </c>
      <c r="B17" s="47" t="inlineStr">
        <is>
          <t>Chemically contaminated solids</t>
        </is>
      </c>
      <c r="C17" s="47" t="inlineStr">
        <is>
          <t>Gloves, tips, tubes, columns, membranes, paper contaminated with hazardous chemicals</t>
        </is>
      </c>
      <c r="D17" s="47" t="inlineStr">
        <is>
          <t>Rigid labelled chemical solid waste bin / double bag</t>
        </is>
      </c>
      <c r="E17" s="63" t="inlineStr">
        <is>
          <t>ABB2B9</t>
        </is>
      </c>
      <c r="F17" s="47" t="inlineStr">
        <is>
          <t>Drain free liquid first. Never autoclave. Keep CMR items separate.</t>
        </is>
      </c>
      <c r="G17" s="47" t="n"/>
      <c r="H17" s="47" t="n"/>
      <c r="I17" s="47" t="inlineStr">
        <is>
          <t>R21</t>
        </is>
      </c>
      <c r="J17" s="45">
        <f>INDEX(Routes!$C$2:$C$39,MATCH(I17,Routes!$A$2:$A$39,0))</f>
        <v/>
      </c>
      <c r="K17" s="45">
        <f>COUNTIF(Items!$D$2:$D$86,A17)</f>
        <v/>
      </c>
    </row>
    <row r="18" ht="23.85" customHeight="1" s="42">
      <c r="A18" s="44" t="inlineStr">
        <is>
          <t>CMR-LIQ</t>
        </is>
      </c>
      <c r="B18" s="47" t="inlineStr">
        <is>
          <t>CMR liquids (carcinogen / mutagen / reprotoxic)</t>
        </is>
      </c>
      <c r="C18" s="47" t="inlineStr">
        <is>
          <t>Ethidium bromide solutions, formaldehyde / PFA, DAB, unpolymerised acrylamide, trypan blue</t>
        </is>
      </c>
      <c r="D18" s="47" t="inlineStr">
        <is>
          <t>Sealed labelled bottle in secondary containment</t>
        </is>
      </c>
      <c r="E18" s="64" t="inlineStr">
        <is>
          <t>C0392B</t>
        </is>
      </c>
      <c r="F18" s="47" t="inlineStr">
        <is>
          <t>Own stream. Never drain. Some sites require specific inactivation or filtration first.</t>
        </is>
      </c>
      <c r="G18" s="47" t="inlineStr">
        <is>
          <t>Check the SDS for H340 / H350 / H360 hazard statements.</t>
        </is>
      </c>
      <c r="H18" s="47" t="n"/>
      <c r="I18" s="47" t="inlineStr">
        <is>
          <t>R22</t>
        </is>
      </c>
      <c r="J18" s="45">
        <f>INDEX(Routes!$C$2:$C$39,MATCH(I18,Routes!$A$2:$A$39,0))</f>
        <v/>
      </c>
      <c r="K18" s="45">
        <f>COUNTIF(Items!$D$2:$D$86,A18)</f>
        <v/>
      </c>
    </row>
    <row r="19" ht="23.85" customHeight="1" s="42">
      <c r="A19" s="44" t="inlineStr">
        <is>
          <t>CMR-SOL</t>
        </is>
      </c>
      <c r="B19" s="47" t="inlineStr">
        <is>
          <t>CMR solids</t>
        </is>
      </c>
      <c r="C19" s="47" t="inlineStr">
        <is>
          <t>Gels, gloves, tubes, slides and paper contaminated with CMR agents</t>
        </is>
      </c>
      <c r="D19" s="47" t="inlineStr">
        <is>
          <t>Sealed labelled bin / double bag</t>
        </is>
      </c>
      <c r="E19" s="65" t="inlineStr">
        <is>
          <t>E74C3C</t>
        </is>
      </c>
      <c r="F19" s="47" t="inlineStr">
        <is>
          <t>Own stream. Never autoclave, never general waste.</t>
        </is>
      </c>
      <c r="G19" s="47" t="n"/>
      <c r="H19" s="47" t="n"/>
      <c r="I19" s="47" t="inlineStr">
        <is>
          <t>R22</t>
        </is>
      </c>
      <c r="J19" s="45">
        <f>INDEX(Routes!$C$2:$C$39,MATCH(I19,Routes!$A$2:$A$39,0))</f>
        <v/>
      </c>
      <c r="K19" s="45">
        <f>COUNTIF(Items!$D$2:$D$86,A19)</f>
        <v/>
      </c>
    </row>
    <row r="20" ht="23.85" customHeight="1" s="42">
      <c r="A20" s="44" t="inlineStr">
        <is>
          <t>CYT</t>
        </is>
      </c>
      <c r="B20" s="47" t="inlineStr">
        <is>
          <t>Cytotoxic / cytostatic</t>
        </is>
      </c>
      <c r="C20" s="47" t="inlineStr">
        <is>
          <t>Cells, media and consumables exposed to cytotoxic drugs (cisplatin, doxorubicin, etc.)</t>
        </is>
      </c>
      <c r="D20" s="47" t="inlineStr">
        <is>
          <t>Purple-lidded bin / purple bag</t>
        </is>
      </c>
      <c r="E20" s="66" t="inlineStr">
        <is>
          <t>6C3483</t>
        </is>
      </c>
      <c r="F20" s="47" t="inlineStr">
        <is>
          <t>Never autoclave or bleach-and-drain. Purple stream for incineration.</t>
        </is>
      </c>
      <c r="G20" s="47" t="inlineStr">
        <is>
          <t>Purple-lidded sharps bins for sharps.</t>
        </is>
      </c>
      <c r="H20" s="47" t="inlineStr">
        <is>
          <t>INCINERATION_ROUTE</t>
        </is>
      </c>
      <c r="I20" s="47" t="inlineStr">
        <is>
          <t>R14</t>
        </is>
      </c>
      <c r="J20" s="45">
        <f>INDEX(Routes!$C$2:$C$39,MATCH(I20,Routes!$A$2:$A$39,0))</f>
        <v/>
      </c>
      <c r="K20" s="45">
        <f>COUNTIF(Items!$D$2:$D$86,A20)</f>
        <v/>
      </c>
    </row>
    <row r="21" ht="23.85" customHeight="1" s="42">
      <c r="A21" s="44" t="inlineStr">
        <is>
          <t>RAD</t>
        </is>
      </c>
      <c r="B21" s="47" t="inlineStr">
        <is>
          <t>Radioactive - OUT OF SCOPE</t>
        </is>
      </c>
      <c r="C21" s="47" t="inlineStr">
        <is>
          <t>Any radiolabelled material</t>
        </is>
      </c>
      <c r="D21" s="47" t="inlineStr">
        <is>
          <t>Do not dispose - refer to Radiation Protection Supervisor</t>
        </is>
      </c>
      <c r="E21" s="67" t="inlineStr">
        <is>
          <t>239B56</t>
        </is>
      </c>
      <c r="F21" s="47" t="inlineStr">
        <is>
          <t>The tool must not classify this. Escalate.</t>
        </is>
      </c>
      <c r="G21" s="47" t="inlineStr">
        <is>
          <t>Always escalate.</t>
        </is>
      </c>
      <c r="H21" s="47" t="n"/>
      <c r="I21" s="47" t="inlineStr">
        <is>
          <t>R30</t>
        </is>
      </c>
      <c r="J21" s="45">
        <f>INDEX(Routes!$C$2:$C$39,MATCH(I21,Routes!$A$2:$A$39,0))</f>
        <v/>
      </c>
      <c r="K21" s="45">
        <f>COUNTIF(Items!$D$2:$D$86,A21)</f>
        <v/>
      </c>
    </row>
    <row r="22" ht="23.85" customHeight="1" s="42">
      <c r="A22" s="44" t="inlineStr">
        <is>
          <t>DRAIN</t>
        </is>
      </c>
      <c r="B22" s="47" t="inlineStr">
        <is>
          <t>Non-hazardous aqueous - drain with flush</t>
        </is>
      </c>
      <c r="C22" s="47" t="inlineStr">
        <is>
          <t>Near-neutral buffers with no azide, solvents, metals, biological material or hazardous additives; dilute used bleach</t>
        </is>
      </c>
      <c r="D22" s="47" t="inlineStr">
        <is>
          <t>Sink (flush with plenty of water)</t>
        </is>
      </c>
      <c r="E22" s="68" t="inlineStr">
        <is>
          <t>D6EAF8</t>
        </is>
      </c>
      <c r="F22" s="47" t="inlineStr">
        <is>
          <t>Small volumes only, roughly pH 6-10, run water before and after. Local trade-effluent rules apply.</t>
        </is>
      </c>
      <c r="G22" s="47" t="inlineStr">
        <is>
          <t>Any item flagged NO_DRAIN must never land here.</t>
        </is>
      </c>
      <c r="H22" s="47" t="inlineStr">
        <is>
          <t>DRAIN_ROUTE</t>
        </is>
      </c>
      <c r="I22" s="47" t="inlineStr">
        <is>
          <t>R06</t>
        </is>
      </c>
      <c r="J22" s="45">
        <f>INDEX(Routes!$C$2:$C$39,MATCH(I22,Routes!$A$2:$A$39,0))</f>
        <v/>
      </c>
      <c r="K22" s="45">
        <f>COUNTIF(Items!$D$2:$D$86,A22)</f>
        <v/>
      </c>
    </row>
    <row r="23" ht="23.85" customHeight="1" s="42">
      <c r="A23" s="44" t="inlineStr">
        <is>
          <t>UNK</t>
        </is>
      </c>
      <c r="B23" s="47" t="inlineStr">
        <is>
          <t>Unsure - escalate</t>
        </is>
      </c>
      <c r="C23" s="47" t="inlineStr">
        <is>
          <t>Unlabelled, unidentified or unmatched items</t>
        </is>
      </c>
      <c r="D23" s="47" t="inlineStr">
        <is>
          <t>Do not dispose - label and quarantine</t>
        </is>
      </c>
      <c r="E23" s="69" t="inlineStr">
        <is>
          <t>17202A</t>
        </is>
      </c>
      <c r="F23" s="47" t="inlineStr">
        <is>
          <t>Ask the supervisor or safety officer. The tool defaults here when confidence is low.</t>
        </is>
      </c>
      <c r="G23" s="47" t="inlineStr">
        <is>
          <t>This is the safe fallback.</t>
        </is>
      </c>
      <c r="H23" s="47" t="n"/>
      <c r="I23" s="47" t="inlineStr">
        <is>
          <t>R38</t>
        </is>
      </c>
      <c r="J23" s="45">
        <f>INDEX(Routes!$C$2:$C$39,MATCH(I23,Routes!$A$2:$A$39,0))</f>
        <v/>
      </c>
      <c r="K23" s="45">
        <f>COUNTIF(Items!$D$2:$D$86,A23)</f>
        <v/>
      </c>
    </row>
    <row r="24" ht="23.85" customHeight="1" s="42">
      <c r="A24" s="44" t="inlineStr">
        <is>
          <t>SHP-CYT</t>
        </is>
      </c>
      <c r="B24" s="47" t="inlineStr">
        <is>
          <t>Sharps - cytotoxic</t>
        </is>
      </c>
      <c r="C24" s="47" t="inlineStr">
        <is>
          <t>Needles, syringes and glass used with cytotoxic drugs</t>
        </is>
      </c>
      <c r="D24" s="47" t="inlineStr">
        <is>
          <t>Sharps bin (purple lid)</t>
        </is>
      </c>
      <c r="E24" s="70" t="inlineStr">
        <is>
          <t>8E44AD</t>
        </is>
      </c>
      <c r="F24" s="47" t="inlineStr">
        <is>
          <t>As for biological sharps; never mix with other sharps.</t>
        </is>
      </c>
      <c r="G24" s="47" t="inlineStr">
        <is>
          <t>Incinerated via the cytotoxic stream.</t>
        </is>
      </c>
      <c r="H24" s="47" t="inlineStr">
        <is>
          <t>INCINERATION_ROUTE</t>
        </is>
      </c>
      <c r="I24" s="47" t="inlineStr">
        <is>
          <t>R12</t>
        </is>
      </c>
      <c r="J24" s="45">
        <f>INDEX(Routes!$C$2:$C$39,MATCH(I24,Routes!$A$2:$A$39,0))</f>
        <v/>
      </c>
      <c r="K24" s="45">
        <f>COUNTIF(Items!$D$2:$D$86,A24)</f>
        <v/>
      </c>
    </row>
    <row r="25" ht="23.85" customHeight="1" s="42">
      <c r="A25" s="44" t="inlineStr">
        <is>
          <t>PHARM</t>
        </is>
      </c>
      <c r="B25" s="47" t="inlineStr">
        <is>
          <t>Pharmaceutical (non-cytotoxic)</t>
        </is>
      </c>
      <c r="C25" s="47" t="inlineStr">
        <is>
          <t>Expired or unused non-cytotoxic medicines and veterinary drugs</t>
        </is>
      </c>
      <c r="D25" s="47" t="inlineStr">
        <is>
          <t>Pharmaceutical waste bin (blue lid)</t>
        </is>
      </c>
      <c r="E25" s="71" t="inlineStr">
        <is>
          <t>3498DB</t>
        </is>
      </c>
      <c r="F25" s="47" t="inlineStr">
        <is>
          <t>Keep in original packaging where possible. Never drain.</t>
        </is>
      </c>
      <c r="G25" s="47" t="inlineStr">
        <is>
          <t>Controlled drugs follow a separate legal process - escalate.</t>
        </is>
      </c>
      <c r="H25" s="47" t="inlineStr">
        <is>
          <t>INCINERATION_ROUTE</t>
        </is>
      </c>
      <c r="I25" s="47" t="inlineStr">
        <is>
          <t>R09</t>
        </is>
      </c>
      <c r="J25" s="45">
        <f>INDEX(Routes!$C$2:$C$39,MATCH(I25,Routes!$A$2:$A$39,0))</f>
        <v/>
      </c>
      <c r="K25" s="45">
        <f>COUNTIF(Items!$D$2:$D$86,A25)</f>
        <v/>
      </c>
    </row>
    <row r="26" ht="23.85" customHeight="1" s="42">
      <c r="A26" s="44" t="inlineStr">
        <is>
          <t>REACT</t>
        </is>
      </c>
      <c r="B26" s="47" t="inlineStr">
        <is>
          <t>Reactive / unstable chemicals</t>
        </is>
      </c>
      <c r="C26" s="47" t="inlineStr">
        <is>
          <t>Water-reactive reagents (acetic anhydride, acid chlorides), peroxide formers past date, azide solids, dry or old picric acid</t>
        </is>
      </c>
      <c r="D26" s="47" t="inlineStr">
        <is>
          <t>Own labelled container; vented cap if the site uses them</t>
        </is>
      </c>
      <c r="E26" s="72" t="inlineStr">
        <is>
          <t>FF5733</t>
        </is>
      </c>
      <c r="F26" s="47" t="inlineStr">
        <is>
          <t>Never combine with any other waste. Fume cupboard. Quench only under an approved SOP by trained staff.</t>
        </is>
      </c>
      <c r="G26" s="47" t="inlineStr">
        <is>
          <t>If crystals are visible or the container is old, do not move it - call the safety officer.</t>
        </is>
      </c>
      <c r="H26" s="47" t="n"/>
      <c r="I26" s="47" t="inlineStr">
        <is>
          <t>R23</t>
        </is>
      </c>
      <c r="J26" s="45">
        <f>INDEX(Routes!$C$2:$C$39,MATCH(I26,Routes!$A$2:$A$39,0))</f>
        <v/>
      </c>
      <c r="K26" s="45">
        <f>COUNTIF(Items!$D$2:$D$86,A26)</f>
        <v/>
      </c>
    </row>
    <row r="27" ht="23.85" customHeight="1" s="42">
      <c r="A27" s="44" t="inlineStr">
        <is>
          <t>LABPACK</t>
        </is>
      </c>
      <c r="B27" s="47" t="inlineStr">
        <is>
          <t>Surplus reagents (lab pack)</t>
        </is>
      </c>
      <c r="C27" s="47" t="inlineStr">
        <is>
          <t>Unwanted or surplus reagents kept in their original, labelled containers</t>
        </is>
      </c>
      <c r="D27" s="47" t="inlineStr">
        <is>
          <t>Original container, listed on the lab-pack inventory</t>
        </is>
      </c>
      <c r="E27" s="73" t="inlineStr">
        <is>
          <t>A04000</t>
        </is>
      </c>
      <c r="F27" s="47" t="inlineStr">
        <is>
          <t>Do not decant or combine. Keep the label legible, list on the inventory, store by hazard class.</t>
        </is>
      </c>
      <c r="G27" s="47" t="inlineStr">
        <is>
          <t>Collected by the specialist contractor as a lab pack.</t>
        </is>
      </c>
      <c r="H27" s="47" t="n"/>
      <c r="I27" s="47" t="inlineStr">
        <is>
          <t>R24</t>
        </is>
      </c>
      <c r="J27" s="45">
        <f>INDEX(Routes!$C$2:$C$39,MATCH(I27,Routes!$A$2:$A$39,0))</f>
        <v/>
      </c>
      <c r="K27" s="45">
        <f>COUNTIF(Items!$D$2:$D$86,A27)</f>
        <v/>
      </c>
    </row>
    <row r="28" ht="23.85" customHeight="1" s="42">
      <c r="A28" s="44" t="inlineStr">
        <is>
          <t>METAL</t>
        </is>
      </c>
      <c r="B28" s="47" t="inlineStr">
        <is>
          <t>Heavy-metal waste</t>
        </is>
      </c>
      <c r="C28" s="47" t="inlineStr">
        <is>
          <t>Mercury, cadmium, lead, chromium(VI), silver and similar metal-containing solutions and solids</t>
        </is>
      </c>
      <c r="D28" s="47" t="inlineStr">
        <is>
          <t>Labelled metal-waste container</t>
        </is>
      </c>
      <c r="E28" s="74" t="inlineStr">
        <is>
          <t>7F8C8D</t>
        </is>
      </c>
      <c r="F28" s="47" t="inlineStr">
        <is>
          <t>Own stream. Never drain. Keep apart from azide.</t>
        </is>
      </c>
      <c r="G28" s="47" t="inlineStr">
        <is>
          <t>Silver stain waste belongs here.</t>
        </is>
      </c>
      <c r="H28" s="47" t="n"/>
      <c r="I28" s="47" t="inlineStr">
        <is>
          <t>R25</t>
        </is>
      </c>
      <c r="J28" s="45">
        <f>INDEX(Routes!$C$2:$C$39,MATCH(I28,Routes!$A$2:$A$39,0))</f>
        <v/>
      </c>
      <c r="K28" s="45">
        <f>COUNTIF(Items!$D$2:$D$86,A28)</f>
        <v/>
      </c>
    </row>
    <row r="29" ht="23.85" customHeight="1" s="42">
      <c r="A29" s="44" t="inlineStr">
        <is>
          <t>TAKEBACK</t>
        </is>
      </c>
      <c r="B29" s="47" t="inlineStr">
        <is>
          <t>Supplier take-back packaging</t>
        </is>
      </c>
      <c r="C29" s="47" t="inlineStr">
        <is>
          <t>Polystyrene boxes, clean ice or cool packs, some tip racks and reagent packaging</t>
        </is>
      </c>
      <c r="D29" s="47" t="inlineStr">
        <is>
          <t>Collection point / return to supplier</t>
        </is>
      </c>
      <c r="E29" s="75" t="inlineStr">
        <is>
          <t>A9DFBF</t>
        </is>
      </c>
      <c r="F29" s="47" t="inlineStr">
        <is>
          <t>Clean and dry; remove labels where required.</t>
        </is>
      </c>
      <c r="G29" s="47" t="inlineStr">
        <is>
          <t>Only where the supplier runs a scheme - otherwise recycling or general waste.</t>
        </is>
      </c>
      <c r="H29" s="47" t="n"/>
      <c r="I29" s="47" t="inlineStr">
        <is>
          <t>R28</t>
        </is>
      </c>
      <c r="J29" s="45">
        <f>INDEX(Routes!$C$2:$C$39,MATCH(I29,Routes!$A$2:$A$39,0))</f>
        <v/>
      </c>
      <c r="K29" s="45">
        <f>COUNTIF(Items!$D$2:$D$86,A29)</f>
        <v/>
      </c>
    </row>
    <row r="30" ht="23.85" customHeight="1" s="42">
      <c r="A30" s="44" t="inlineStr">
        <is>
          <t>REUSE</t>
        </is>
      </c>
      <c r="B30" s="47" t="inlineStr">
        <is>
          <t>Reuse / redistribute</t>
        </is>
      </c>
      <c r="C30" s="47" t="inlineStr">
        <is>
          <t>Unopened, in-date surplus reagents and consumables</t>
        </is>
      </c>
      <c r="D30" s="47" t="inlineStr">
        <is>
          <t>Chemical exchange shelf / board</t>
        </is>
      </c>
      <c r="E30" s="76" t="inlineStr">
        <is>
          <t>ABEBC6</t>
        </is>
      </c>
      <c r="F30" s="47" t="inlineStr">
        <is>
          <t>Advertise to other labs before disposal; check expiry and storage conditions.</t>
        </is>
      </c>
      <c r="G30" s="47" t="inlineStr">
        <is>
          <t>Not for opened, expired or unlabelled items.</t>
        </is>
      </c>
      <c r="H30" s="47" t="n"/>
      <c r="I30" s="47" t="inlineStr">
        <is>
          <t>R37</t>
        </is>
      </c>
      <c r="J30" s="45">
        <f>INDEX(Routes!$C$2:$C$39,MATCH(I30,Routes!$A$2:$A$39,0))</f>
        <v/>
      </c>
      <c r="K30" s="45">
        <f>COUNTIF(Items!$D$2:$D$86,A30)</f>
        <v/>
      </c>
    </row>
    <row r="31" ht="23.85" customHeight="1" s="42">
      <c r="A31" s="44" t="inlineStr">
        <is>
          <t>WEEE</t>
        </is>
      </c>
      <c r="B31" s="47" t="inlineStr">
        <is>
          <t>Electrical and electronic equipment (WEEE)</t>
        </is>
      </c>
      <c r="C31" s="47" t="inlineStr">
        <is>
          <t>Old plate readers, pipette controllers, power supplies, small instruments</t>
        </is>
      </c>
      <c r="D31" s="47" t="inlineStr">
        <is>
          <t>WEEE collection (tagged)</t>
        </is>
      </c>
      <c r="E31" s="77" t="inlineStr">
        <is>
          <t>566573</t>
        </is>
      </c>
      <c r="F31" s="47" t="inlineStr">
        <is>
          <t>Decontaminate and tag as safe before collection.</t>
        </is>
      </c>
      <c r="G31" s="47" t="inlineStr">
        <is>
          <t>Contact the estates or equipment team.</t>
        </is>
      </c>
      <c r="H31" s="47" t="n"/>
      <c r="I31" s="47" t="inlineStr">
        <is>
          <t>R31</t>
        </is>
      </c>
      <c r="J31" s="45">
        <f>INDEX(Routes!$C$2:$C$39,MATCH(I31,Routes!$A$2:$A$39,0))</f>
        <v/>
      </c>
      <c r="K31" s="45">
        <f>COUNTIF(Items!$D$2:$D$86,A31)</f>
        <v/>
      </c>
    </row>
    <row r="32" ht="15" customHeight="1" s="42">
      <c r="A32" s="44" t="inlineStr">
        <is>
          <t>BATT</t>
        </is>
      </c>
      <c r="B32" s="47" t="inlineStr">
        <is>
          <t>Batteries</t>
        </is>
      </c>
      <c r="C32" s="47" t="inlineStr">
        <is>
          <t>Instrument, pipette controller and remote batteries</t>
        </is>
      </c>
      <c r="D32" s="47" t="inlineStr">
        <is>
          <t>Battery collection tub</t>
        </is>
      </c>
      <c r="E32" s="78" t="inlineStr">
        <is>
          <t>F5B041</t>
        </is>
      </c>
      <c r="F32" s="47" t="inlineStr">
        <is>
          <t>Tape the terminals of lithium cells. Do not bin.</t>
        </is>
      </c>
      <c r="G32" s="47" t="n"/>
      <c r="H32" s="47" t="n"/>
      <c r="I32" s="47" t="inlineStr">
        <is>
          <t>R32</t>
        </is>
      </c>
      <c r="J32" s="45">
        <f>INDEX(Routes!$C$2:$C$39,MATCH(I32,Routes!$A$2:$A$39,0))</f>
        <v/>
      </c>
      <c r="K32" s="45">
        <f>COUNTIF(Items!$D$2:$D$86,A32)</f>
        <v/>
      </c>
    </row>
    <row r="33" ht="15" customHeight="1" s="42">
      <c r="A33" s="44" t="inlineStr">
        <is>
          <t>LAMP</t>
        </is>
      </c>
      <c r="B33" s="47" t="inlineStr">
        <is>
          <t>Lamps and tubes</t>
        </is>
      </c>
      <c r="C33" s="47" t="inlineStr">
        <is>
          <t>UV bulbs, fluorescent tubes, transilluminator lamps</t>
        </is>
      </c>
      <c r="D33" s="47" t="inlineStr">
        <is>
          <t>Lamp collection box</t>
        </is>
      </c>
      <c r="E33" s="79" t="inlineStr">
        <is>
          <t>F9E79F</t>
        </is>
      </c>
      <c r="F33" s="47" t="inlineStr">
        <is>
          <t>Handle carefully; many contain mercury.</t>
        </is>
      </c>
      <c r="G33" s="47" t="n"/>
      <c r="H33" s="47" t="n"/>
      <c r="I33" s="47" t="inlineStr">
        <is>
          <t>R33</t>
        </is>
      </c>
      <c r="J33" s="45">
        <f>INDEX(Routes!$C$2:$C$39,MATCH(I33,Routes!$A$2:$A$39,0))</f>
        <v/>
      </c>
      <c r="K33" s="45">
        <f>COUNTIF(Items!$D$2:$D$86,A33)</f>
        <v/>
      </c>
    </row>
    <row r="34" ht="23.85" customHeight="1" s="42">
      <c r="A34" s="44" t="inlineStr">
        <is>
          <t>CYL</t>
        </is>
      </c>
      <c r="B34" s="47" t="inlineStr">
        <is>
          <t>Gas cylinders</t>
        </is>
      </c>
      <c r="C34" s="47" t="inlineStr">
        <is>
          <t>Empty or unwanted CO2, nitrogen, argon and other cylinders</t>
        </is>
      </c>
      <c r="D34" s="47" t="inlineStr">
        <is>
          <t>Return to supplier / designated cylinder store</t>
        </is>
      </c>
      <c r="E34" s="80" t="inlineStr">
        <is>
          <t>5499C7</t>
        </is>
      </c>
      <c r="F34" s="47" t="inlineStr">
        <is>
          <t>Close valve, cap, label as empty or full, store upright and secured.</t>
        </is>
      </c>
      <c r="G34" s="47" t="inlineStr">
        <is>
          <t>Never dispose of locally.</t>
        </is>
      </c>
      <c r="H34" s="47" t="n"/>
      <c r="I34" s="47" t="inlineStr">
        <is>
          <t>R34</t>
        </is>
      </c>
      <c r="J34" s="45">
        <f>INDEX(Routes!$C$2:$C$39,MATCH(I34,Routes!$A$2:$A$39,0))</f>
        <v/>
      </c>
      <c r="K34" s="45">
        <f>COUNTIF(Items!$D$2:$D$86,A34)</f>
        <v/>
      </c>
    </row>
    <row r="35" ht="23.85" customHeight="1" s="42">
      <c r="A35" s="44" t="inlineStr">
        <is>
          <t>ANI</t>
        </is>
      </c>
      <c r="B35" s="47" t="inlineStr">
        <is>
          <t>Animal waste - OUT OF SCOPE</t>
        </is>
      </c>
      <c r="C35" s="47" t="inlineStr">
        <is>
          <t>Carcasses, bedding and in-vivo waste</t>
        </is>
      </c>
      <c r="D35" s="47" t="inlineStr">
        <is>
          <t>Do not dispose - follow the animal facility procedure</t>
        </is>
      </c>
      <c r="E35" s="81" t="inlineStr">
        <is>
          <t>145A32</t>
        </is>
      </c>
      <c r="F35" s="47" t="inlineStr">
        <is>
          <t>The tool must not classify this. Escalate.</t>
        </is>
      </c>
      <c r="G35" s="47" t="inlineStr">
        <is>
          <t>Always escalate.</t>
        </is>
      </c>
      <c r="H35" s="47" t="n"/>
      <c r="I35" s="47" t="inlineStr">
        <is>
          <t>R35</t>
        </is>
      </c>
      <c r="J35" s="45">
        <f>INDEX(Routes!$C$2:$C$39,MATCH(I35,Routes!$A$2:$A$39,0))</f>
        <v/>
      </c>
      <c r="K35" s="45">
        <f>COUNTIF(Items!$D$2:$D$86,A35)</f>
        <v/>
      </c>
    </row>
    <row r="36" ht="23.85" customHeight="1" s="42">
      <c r="A36" s="44" t="inlineStr">
        <is>
          <t>HICON</t>
        </is>
      </c>
      <c r="B36" s="47" t="inlineStr">
        <is>
          <t>High-containment pathogens - OUT OF SCOPE</t>
        </is>
      </c>
      <c r="C36" s="47" t="inlineStr">
        <is>
          <t>Pathogens above containment level 2 or unknown pathogens</t>
        </is>
      </c>
      <c r="D36" s="47" t="inlineStr">
        <is>
          <t>Do not dispose - follow the containment facility procedure</t>
        </is>
      </c>
      <c r="E36" s="82" t="inlineStr">
        <is>
          <t>7B241C</t>
        </is>
      </c>
      <c r="F36" s="47" t="inlineStr">
        <is>
          <t>The tool must not classify this. Escalate.</t>
        </is>
      </c>
      <c r="G36" s="47" t="inlineStr">
        <is>
          <t>Always escalate.</t>
        </is>
      </c>
      <c r="H36" s="47" t="n"/>
      <c r="I36" s="47" t="inlineStr">
        <is>
          <t>R36</t>
        </is>
      </c>
      <c r="J36" s="45">
        <f>INDEX(Routes!$C$2:$C$39,MATCH(I36,Routes!$A$2:$A$39,0))</f>
        <v/>
      </c>
      <c r="K36" s="45">
        <f>COUNTIF(Items!$D$2:$D$86,A36)</f>
        <v/>
      </c>
    </row>
  </sheetData>
  <autoFilter ref="A1:K36"/>
  <dataValidations count="1">
    <dataValidation sqref="I2:I136" showDropDown="0" showInputMessage="0" showErrorMessage="0" allowBlank="0" type="list" errorStyle="stop" operator="between">
      <formula1>Routes!$A$2:$A$39</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1" min="1" max="1"/>
    <col width="34" customWidth="1" style="41" min="2" max="2"/>
    <col width="40" customWidth="1" style="41" min="3" max="3"/>
    <col width="62" customWidth="1" style="41" min="4" max="4"/>
    <col width="52" customWidth="1" style="41" min="5" max="5"/>
    <col width="38" customWidth="1" style="41" min="6" max="6"/>
    <col width="16" customWidth="1" style="41" min="7" max="7"/>
  </cols>
  <sheetData>
    <row r="1" ht="30" customHeight="1" s="42">
      <c r="A1" s="46" t="inlineStr">
        <is>
          <t>Route ID</t>
        </is>
      </c>
      <c r="B1" s="46" t="inlineStr">
        <is>
          <t>Group</t>
        </is>
      </c>
      <c r="C1" s="46" t="inlineStr">
        <is>
          <t>Route</t>
        </is>
      </c>
      <c r="D1" s="46" t="inlineStr">
        <is>
          <t>What happens</t>
        </is>
      </c>
      <c r="E1" s="46" t="inlineStr">
        <is>
          <t>Typical waste</t>
        </is>
      </c>
      <c r="F1" s="46" t="inlineStr">
        <is>
          <t>Container / marking (illustrative)</t>
        </is>
      </c>
      <c r="G1" s="46" t="inlineStr">
        <is>
          <t>Categories using this route (#)</t>
        </is>
      </c>
    </row>
    <row r="2" ht="23.85" customHeight="1" s="42">
      <c r="A2" s="44" t="inlineStr">
        <is>
          <t>R01</t>
        </is>
      </c>
      <c r="B2" s="47" t="inlineStr">
        <is>
          <t>1 Treat in lab</t>
        </is>
      </c>
      <c r="C2" s="47" t="inlineStr">
        <is>
          <t>Autoclave (solids)</t>
        </is>
      </c>
      <c r="D2" s="47" t="inlineStr">
        <is>
          <t>Bagged solids are autoclaved on a validated cycle, then collected as treated waste.</t>
        </is>
      </c>
      <c r="E2" s="47" t="inlineStr">
        <is>
          <t>Cell culture plastics, tips, tubes, plates</t>
        </is>
      </c>
      <c r="F2" s="47" t="inlineStr">
        <is>
          <t>Autoclave bag in rigid bin, indicator tape</t>
        </is>
      </c>
      <c r="G2" s="45">
        <f>COUNTIF(Categories!$I$2:$I$36,A2)</f>
        <v/>
      </c>
    </row>
    <row r="3" ht="23.85" customHeight="1" s="42">
      <c r="A3" s="44" t="inlineStr">
        <is>
          <t>R02</t>
        </is>
      </c>
      <c r="B3" s="47" t="inlineStr">
        <is>
          <t>1 Treat in lab</t>
        </is>
      </c>
      <c r="C3" s="47" t="inlineStr">
        <is>
          <t>Autoclave (liquids, vented vessel)</t>
        </is>
      </c>
      <c r="D3" s="47" t="inlineStr">
        <is>
          <t>Liquids autoclaved in a suitable vented vessel on a liquid cycle, then drained or collected. Never after bleach is added.</t>
        </is>
      </c>
      <c r="E3" s="47" t="inlineStr">
        <is>
          <t>Culture media with no hazardous additives</t>
        </is>
      </c>
      <c r="F3" s="47" t="inlineStr">
        <is>
          <t>Autoclavable vessel with vented cap</t>
        </is>
      </c>
      <c r="G3" s="45">
        <f>COUNTIF(Categories!$I$2:$I$36,A3)</f>
        <v/>
      </c>
    </row>
    <row r="4" ht="23.85" customHeight="1" s="42">
      <c r="A4" s="44" t="inlineStr">
        <is>
          <t>R03</t>
        </is>
      </c>
      <c r="B4" s="47" t="inlineStr">
        <is>
          <t>1 Treat in lab</t>
        </is>
      </c>
      <c r="C4" s="47" t="inlineStr">
        <is>
          <t>Validated GM inactivation</t>
        </is>
      </c>
      <c r="D4" s="47" t="inlineStr">
        <is>
          <t>Autoclave or validated chemical inactivation before leaving the lab, per the GM risk assessment.</t>
        </is>
      </c>
      <c r="E4" s="47" t="inlineStr">
        <is>
          <t>Transfected or transduced cells and consumables</t>
        </is>
      </c>
      <c r="F4" s="47" t="inlineStr">
        <is>
          <t>Labelled GM bag</t>
        </is>
      </c>
      <c r="G4" s="45">
        <f>COUNTIF(Categories!$I$2:$I$36,A4)</f>
        <v/>
      </c>
    </row>
    <row r="5" ht="23.85" customHeight="1" s="42">
      <c r="A5" s="44" t="inlineStr">
        <is>
          <t>R04</t>
        </is>
      </c>
      <c r="B5" s="47" t="inlineStr">
        <is>
          <t>1 Treat in lab</t>
        </is>
      </c>
      <c r="C5" s="47" t="inlineStr">
        <is>
          <t>Chemical inactivation then drain</t>
        </is>
      </c>
      <c r="D5" s="47" t="inlineStr">
        <is>
          <t>Hypochlorite or approved disinfectant at validated concentration and contact time, then drain with flush.</t>
        </is>
      </c>
      <c r="E5" s="47" t="inlineStr">
        <is>
          <t>Aspirated media, supernatants</t>
        </is>
      </c>
      <c r="F5" s="47" t="inlineStr">
        <is>
          <t>Aspirator flask with disinfectant</t>
        </is>
      </c>
      <c r="G5" s="45">
        <f>COUNTIF(Categories!$I$2:$I$36,A5)</f>
        <v/>
      </c>
    </row>
    <row r="6" ht="23.85" customHeight="1" s="42">
      <c r="A6" s="44" t="inlineStr">
        <is>
          <t>R05</t>
        </is>
      </c>
      <c r="B6" s="47" t="inlineStr">
        <is>
          <t>1 Treat in lab</t>
        </is>
      </c>
      <c r="C6" s="47" t="inlineStr">
        <is>
          <t>Chemical disinfectant soak</t>
        </is>
      </c>
      <c r="D6" s="47" t="inlineStr">
        <is>
          <t>Reusable items soaked in approved disinfectant for the validated contact time, then washed.</t>
        </is>
      </c>
      <c r="E6" s="47" t="inlineStr">
        <is>
          <t>Reusable glass, forceps, racks</t>
        </is>
      </c>
      <c r="F6" s="47" t="inlineStr">
        <is>
          <t>Soak tub with fresh disinfectant</t>
        </is>
      </c>
      <c r="G6" s="45">
        <f>COUNTIF(Categories!$I$2:$I$36,A6)</f>
        <v/>
      </c>
    </row>
    <row r="7" ht="23.85" customHeight="1" s="42">
      <c r="A7" s="44" t="inlineStr">
        <is>
          <t>R06</t>
        </is>
      </c>
      <c r="B7" s="47" t="inlineStr">
        <is>
          <t>2 Drain</t>
        </is>
      </c>
      <c r="C7" s="47" t="inlineStr">
        <is>
          <t>Drain with flush</t>
        </is>
      </c>
      <c r="D7" s="47" t="inlineStr">
        <is>
          <t>Small volumes of non-hazardous aqueous waste flushed with plenty of water.</t>
        </is>
      </c>
      <c r="E7" s="47" t="inlineStr">
        <is>
          <t>Neutral buffers (TBST, TAE, running buffer), diluted used bleach</t>
        </is>
      </c>
      <c r="F7" s="47" t="inlineStr">
        <is>
          <t>Sink</t>
        </is>
      </c>
      <c r="G7" s="45">
        <f>COUNTIF(Categories!$I$2:$I$36,A7)</f>
        <v/>
      </c>
    </row>
    <row r="8" ht="23.85" customHeight="1" s="42">
      <c r="A8" s="44" t="inlineStr">
        <is>
          <t>R07</t>
        </is>
      </c>
      <c r="B8" s="47" t="inlineStr">
        <is>
          <t>3 Clinical / biological collection</t>
        </is>
      </c>
      <c r="C8" s="47" t="inlineStr">
        <is>
          <t>Clinical incineration (yellow)</t>
        </is>
      </c>
      <c r="D8" s="47" t="inlineStr">
        <is>
          <t>Sealed, labelled and collected by the clinical waste contractor for incineration.</t>
        </is>
      </c>
      <c r="E8" s="47" t="inlineStr">
        <is>
          <t>Tissue, FFPE, unfixed human or animal samples</t>
        </is>
      </c>
      <c r="F8" s="47" t="inlineStr">
        <is>
          <t>Yellow bin or bag</t>
        </is>
      </c>
      <c r="G8" s="45">
        <f>COUNTIF(Categories!$I$2:$I$36,A8)</f>
        <v/>
      </c>
    </row>
    <row r="9" ht="23.85" customHeight="1" s="42">
      <c r="A9" s="44" t="inlineStr">
        <is>
          <t>R08</t>
        </is>
      </c>
      <c r="B9" s="47" t="inlineStr">
        <is>
          <t>3 Clinical / biological collection</t>
        </is>
      </c>
      <c r="C9" s="47" t="inlineStr">
        <is>
          <t>Alternative treatment (orange)</t>
        </is>
      </c>
      <c r="D9" s="47" t="inlineStr">
        <is>
          <t>Infectious solids collected for off-site treatment instead of lab autoclaving. Used by sites without an autoclave.</t>
        </is>
      </c>
      <c r="E9" s="47" t="inlineStr">
        <is>
          <t>Infectious solids</t>
        </is>
      </c>
      <c r="F9" s="47" t="inlineStr">
        <is>
          <t>Orange bag</t>
        </is>
      </c>
      <c r="G9" s="45">
        <f>COUNTIF(Categories!$I$2:$I$36,A9)</f>
        <v/>
      </c>
    </row>
    <row r="10" ht="15" customHeight="1" s="42">
      <c r="A10" s="44" t="inlineStr">
        <is>
          <t>R09</t>
        </is>
      </c>
      <c r="B10" s="47" t="inlineStr">
        <is>
          <t>3 Clinical / biological collection</t>
        </is>
      </c>
      <c r="C10" s="47" t="inlineStr">
        <is>
          <t>Pharmaceutical collection (blue)</t>
        </is>
      </c>
      <c r="D10" s="47" t="inlineStr">
        <is>
          <t>Collected for pharmaceutical incineration.</t>
        </is>
      </c>
      <c r="E10" s="47" t="inlineStr">
        <is>
          <t>Non-cytotoxic medicines</t>
        </is>
      </c>
      <c r="F10" s="47" t="inlineStr">
        <is>
          <t>Blue-lidded bin</t>
        </is>
      </c>
      <c r="G10" s="45">
        <f>COUNTIF(Categories!$I$2:$I$36,A10)</f>
        <v/>
      </c>
    </row>
    <row r="11" ht="15" customHeight="1" s="42">
      <c r="A11" s="44" t="inlineStr">
        <is>
          <t>R10</t>
        </is>
      </c>
      <c r="B11" s="47" t="inlineStr">
        <is>
          <t>4 Sharps</t>
        </is>
      </c>
      <c r="C11" s="47" t="inlineStr">
        <is>
          <t>Sharps - biological (orange lid)</t>
        </is>
      </c>
      <c r="D11" s="47" t="inlineStr">
        <is>
          <t>Bin filled to the line, closed and collected for treatment.</t>
        </is>
      </c>
      <c r="E11" s="47" t="inlineStr">
        <is>
          <t>Needles, blades, contaminated glass</t>
        </is>
      </c>
      <c r="F11" s="47" t="inlineStr">
        <is>
          <t>Orange-lidded sharps bin</t>
        </is>
      </c>
      <c r="G11" s="45">
        <f>COUNTIF(Categories!$I$2:$I$36,A11)</f>
        <v/>
      </c>
    </row>
    <row r="12" ht="15" customHeight="1" s="42">
      <c r="A12" s="44" t="inlineStr">
        <is>
          <t>R11</t>
        </is>
      </c>
      <c r="B12" s="47" t="inlineStr">
        <is>
          <t>4 Sharps</t>
        </is>
      </c>
      <c r="C12" s="47" t="inlineStr">
        <is>
          <t>Sharps - chemical (yellow lid)</t>
        </is>
      </c>
      <c r="D12" s="47" t="inlineStr">
        <is>
          <t>Bin filled to the line, closed and collected for incineration.</t>
        </is>
      </c>
      <c r="E12" s="47" t="inlineStr">
        <is>
          <t>Stain-contaminated glass, EtBr blades</t>
        </is>
      </c>
      <c r="F12" s="47" t="inlineStr">
        <is>
          <t>Yellow-lidded sharps bin</t>
        </is>
      </c>
      <c r="G12" s="45">
        <f>COUNTIF(Categories!$I$2:$I$36,A12)</f>
        <v/>
      </c>
    </row>
    <row r="13" ht="15" customHeight="1" s="42">
      <c r="A13" s="44" t="inlineStr">
        <is>
          <t>R12</t>
        </is>
      </c>
      <c r="B13" s="47" t="inlineStr">
        <is>
          <t>4 Sharps</t>
        </is>
      </c>
      <c r="C13" s="47" t="inlineStr">
        <is>
          <t>Sharps - cytotoxic (purple lid)</t>
        </is>
      </c>
      <c r="D13" s="47" t="inlineStr">
        <is>
          <t>Collected with cytotoxic waste for incineration.</t>
        </is>
      </c>
      <c r="E13" s="47" t="inlineStr">
        <is>
          <t>Needles used with cytotoxic drugs</t>
        </is>
      </c>
      <c r="F13" s="47" t="inlineStr">
        <is>
          <t>Purple-lidded sharps bin</t>
        </is>
      </c>
      <c r="G13" s="45">
        <f>COUNTIF(Categories!$I$2:$I$36,A13)</f>
        <v/>
      </c>
    </row>
    <row r="14" ht="15" customHeight="1" s="42">
      <c r="A14" s="44" t="inlineStr">
        <is>
          <t>R13</t>
        </is>
      </c>
      <c r="B14" s="47" t="inlineStr">
        <is>
          <t>4 Sharps</t>
        </is>
      </c>
      <c r="C14" s="47" t="inlineStr">
        <is>
          <t>Broken-glass box</t>
        </is>
      </c>
      <c r="D14" s="47" t="inlineStr">
        <is>
          <t>Clean broken glass collected in a rigid box.</t>
        </is>
      </c>
      <c r="E14" s="47" t="inlineStr">
        <is>
          <t>Uncontaminated broken glass (clean-glass category)</t>
        </is>
      </c>
      <c r="F14" s="47" t="inlineStr">
        <is>
          <t>Broken-glass box</t>
        </is>
      </c>
      <c r="G14" s="45">
        <f>COUNTIF(Categories!$I$2:$I$36,A14)</f>
        <v/>
      </c>
    </row>
    <row r="15" ht="23.85" customHeight="1" s="42">
      <c r="A15" s="44" t="inlineStr">
        <is>
          <t>R14</t>
        </is>
      </c>
      <c r="B15" s="47" t="inlineStr">
        <is>
          <t>5 Cytotoxic</t>
        </is>
      </c>
      <c r="C15" s="47" t="inlineStr">
        <is>
          <t>Cytotoxic incineration (purple)</t>
        </is>
      </c>
      <c r="D15" s="47" t="inlineStr">
        <is>
          <t>High-temperature incineration by the specialist contractor.</t>
        </is>
      </c>
      <c r="E15" s="47" t="inlineStr">
        <is>
          <t>Cells, media and consumables exposed to cisplatin, doxorubicin, etc.</t>
        </is>
      </c>
      <c r="F15" s="47" t="inlineStr">
        <is>
          <t>Purple bin or bag</t>
        </is>
      </c>
      <c r="G15" s="45">
        <f>COUNTIF(Categories!$I$2:$I$36,A15)</f>
        <v/>
      </c>
    </row>
    <row r="16" ht="15" customHeight="1" s="42">
      <c r="A16" s="44" t="inlineStr">
        <is>
          <t>R15</t>
        </is>
      </c>
      <c r="B16" s="47" t="inlineStr">
        <is>
          <t>6 Chemical collection</t>
        </is>
      </c>
      <c r="C16" s="47" t="inlineStr">
        <is>
          <t>Solvent recovery / fuel blending</t>
        </is>
      </c>
      <c r="D16" s="47" t="inlineStr">
        <is>
          <t>Collected for recovery or fuel blending.</t>
        </is>
      </c>
      <c r="E16" s="47" t="inlineStr">
        <is>
          <t>Ethanol, methanol, acetonitrile, xylene</t>
        </is>
      </c>
      <c r="F16" s="47" t="inlineStr">
        <is>
          <t>Flammable solvent carboy</t>
        </is>
      </c>
      <c r="G16" s="45">
        <f>COUNTIF(Categories!$I$2:$I$36,A16)</f>
        <v/>
      </c>
    </row>
    <row r="17" ht="15" customHeight="1" s="42">
      <c r="A17" s="44" t="inlineStr">
        <is>
          <t>R16</t>
        </is>
      </c>
      <c r="B17" s="47" t="inlineStr">
        <is>
          <t>6 Chemical collection</t>
        </is>
      </c>
      <c r="C17" s="47" t="inlineStr">
        <is>
          <t>High-temperature incineration (halogenated)</t>
        </is>
      </c>
      <c r="D17" s="47" t="inlineStr">
        <is>
          <t>Collected separately for high-temperature incineration with scrubbing.</t>
        </is>
      </c>
      <c r="E17" s="47" t="inlineStr">
        <is>
          <t>Chloroform, phenol-chloroform</t>
        </is>
      </c>
      <c r="F17" s="47" t="inlineStr">
        <is>
          <t>Halogenated solvent carboy</t>
        </is>
      </c>
      <c r="G17" s="45">
        <f>COUNTIF(Categories!$I$2:$I$36,A17)</f>
        <v/>
      </c>
    </row>
    <row r="18" ht="23.85" customHeight="1" s="42">
      <c r="A18" s="44" t="inlineStr">
        <is>
          <t>R17</t>
        </is>
      </c>
      <c r="B18" s="47" t="inlineStr">
        <is>
          <t>6 Chemical collection</t>
        </is>
      </c>
      <c r="C18" s="47" t="inlineStr">
        <is>
          <t>Specialist lysis-waste collection</t>
        </is>
      </c>
      <c r="D18" s="47" t="inlineStr">
        <is>
          <t>Own stream collected by the chemical contractor; never mixed with bleach waste.</t>
        </is>
      </c>
      <c r="E18" s="47" t="inlineStr">
        <is>
          <t>TRIzol aqueous phase, guanidinium buffers</t>
        </is>
      </c>
      <c r="F18" s="47" t="inlineStr">
        <is>
          <t>Dedicated labelled carboy</t>
        </is>
      </c>
      <c r="G18" s="45">
        <f>COUNTIF(Categories!$I$2:$I$36,A18)</f>
        <v/>
      </c>
    </row>
    <row r="19" ht="15" customHeight="1" s="42">
      <c r="A19" s="44" t="inlineStr">
        <is>
          <t>R18</t>
        </is>
      </c>
      <c r="B19" s="47" t="inlineStr">
        <is>
          <t>6 Chemical collection</t>
        </is>
      </c>
      <c r="C19" s="47" t="inlineStr">
        <is>
          <t>Hazardous aqueous treatment</t>
        </is>
      </c>
      <c r="D19" s="47" t="inlineStr">
        <is>
          <t>Collected for chemical treatment or incineration.</t>
        </is>
      </c>
      <c r="E19" s="47" t="inlineStr">
        <is>
          <t>Azide buffers, iodoacetamide, detergent lysates</t>
        </is>
      </c>
      <c r="F19" s="47" t="inlineStr">
        <is>
          <t>Labelled aqueous carboy</t>
        </is>
      </c>
      <c r="G19" s="45">
        <f>COUNTIF(Categories!$I$2:$I$36,A19)</f>
        <v/>
      </c>
    </row>
    <row r="20" ht="15" customHeight="1" s="42">
      <c r="A20" s="44" t="inlineStr">
        <is>
          <t>R19</t>
        </is>
      </c>
      <c r="B20" s="47" t="inlineStr">
        <is>
          <t>6 Chemical collection</t>
        </is>
      </c>
      <c r="C20" s="47" t="inlineStr">
        <is>
          <t>Acid collection or neutralisation</t>
        </is>
      </c>
      <c r="D20" s="47" t="inlineStr">
        <is>
          <t>Collected as acid waste, or neutralised only under an approved SOP.</t>
        </is>
      </c>
      <c r="E20" s="47" t="inlineStr">
        <is>
          <t>TFA, HCl, nitric acid</t>
        </is>
      </c>
      <c r="F20" s="47" t="inlineStr">
        <is>
          <t>Acid-compatible carboy</t>
        </is>
      </c>
      <c r="G20" s="45">
        <f>COUNTIF(Categories!$I$2:$I$36,A20)</f>
        <v/>
      </c>
    </row>
    <row r="21" ht="15" customHeight="1" s="42">
      <c r="A21" s="44" t="inlineStr">
        <is>
          <t>R20</t>
        </is>
      </c>
      <c r="B21" s="47" t="inlineStr">
        <is>
          <t>6 Chemical collection</t>
        </is>
      </c>
      <c r="C21" s="47" t="inlineStr">
        <is>
          <t>Alkali collection or neutralisation</t>
        </is>
      </c>
      <c r="D21" s="47" t="inlineStr">
        <is>
          <t>Collected as alkaline waste, or neutralised only under an approved SOP.</t>
        </is>
      </c>
      <c r="E21" s="47" t="inlineStr">
        <is>
          <t>NaOH, KOH</t>
        </is>
      </c>
      <c r="F21" s="47" t="inlineStr">
        <is>
          <t>Base-compatible carboy</t>
        </is>
      </c>
      <c r="G21" s="45">
        <f>COUNTIF(Categories!$I$2:$I$36,A21)</f>
        <v/>
      </c>
    </row>
    <row r="22" ht="15" customHeight="1" s="42">
      <c r="A22" s="44" t="inlineStr">
        <is>
          <t>R21</t>
        </is>
      </c>
      <c r="B22" s="47" t="inlineStr">
        <is>
          <t>6 Chemical collection</t>
        </is>
      </c>
      <c r="C22" s="47" t="inlineStr">
        <is>
          <t>Hazardous solid incineration</t>
        </is>
      </c>
      <c r="D22" s="47" t="inlineStr">
        <is>
          <t>Collected for incineration.</t>
        </is>
      </c>
      <c r="E22" s="47" t="inlineStr">
        <is>
          <t>Chemically contaminated gloves, tips, columns</t>
        </is>
      </c>
      <c r="F22" s="47" t="inlineStr">
        <is>
          <t>Rigid labelled bin or double bag</t>
        </is>
      </c>
      <c r="G22" s="45">
        <f>COUNTIF(Categories!$I$2:$I$36,A22)</f>
        <v/>
      </c>
    </row>
    <row r="23" ht="23.85" customHeight="1" s="42">
      <c r="A23" s="44" t="inlineStr">
        <is>
          <t>R22</t>
        </is>
      </c>
      <c r="B23" s="47" t="inlineStr">
        <is>
          <t>6 Chemical collection</t>
        </is>
      </c>
      <c r="C23" s="47" t="inlineStr">
        <is>
          <t>CMR specialist incineration</t>
        </is>
      </c>
      <c r="D23" s="47" t="inlineStr">
        <is>
          <t>Own stream collected for specialist incineration.</t>
        </is>
      </c>
      <c r="E23" s="47" t="inlineStr">
        <is>
          <t>EtBr, formaldehyde, DAB, acrylamide, trypan blue</t>
        </is>
      </c>
      <c r="F23" s="47" t="inlineStr">
        <is>
          <t>Sealed labelled container in secondary containment</t>
        </is>
      </c>
      <c r="G23" s="45">
        <f>COUNTIF(Categories!$I$2:$I$36,A23)</f>
        <v/>
      </c>
    </row>
    <row r="24" ht="23.85" customHeight="1" s="42">
      <c r="A24" s="44" t="inlineStr">
        <is>
          <t>R23</t>
        </is>
      </c>
      <c r="B24" s="47" t="inlineStr">
        <is>
          <t>6 Chemical collection</t>
        </is>
      </c>
      <c r="C24" s="47" t="inlineStr">
        <is>
          <t>Reactive / unstable collection</t>
        </is>
      </c>
      <c r="D24" s="47" t="inlineStr">
        <is>
          <t>Own container; collected by the specialist contractor after assessment by the safety officer.</t>
        </is>
      </c>
      <c r="E24" s="47" t="inlineStr">
        <is>
          <t>Acetic anhydride, peroxide formers, azide solids, picric acid</t>
        </is>
      </c>
      <c r="F24" s="47" t="inlineStr">
        <is>
          <t>Own labelled container</t>
        </is>
      </c>
      <c r="G24" s="45">
        <f>COUNTIF(Categories!$I$2:$I$36,A24)</f>
        <v/>
      </c>
    </row>
    <row r="25" ht="15" customHeight="1" s="42">
      <c r="A25" s="44" t="inlineStr">
        <is>
          <t>R24</t>
        </is>
      </c>
      <c r="B25" s="47" t="inlineStr">
        <is>
          <t>6 Chemical collection</t>
        </is>
      </c>
      <c r="C25" s="47" t="inlineStr">
        <is>
          <t>Lab-pack collection</t>
        </is>
      </c>
      <c r="D25" s="47" t="inlineStr">
        <is>
          <t>Original containers packed and listed by the contractor.</t>
        </is>
      </c>
      <c r="E25" s="47" t="inlineStr">
        <is>
          <t>Surplus or unwanted reagents</t>
        </is>
      </c>
      <c r="F25" s="47" t="inlineStr">
        <is>
          <t>Original container with inventory</t>
        </is>
      </c>
      <c r="G25" s="45">
        <f>COUNTIF(Categories!$I$2:$I$36,A25)</f>
        <v/>
      </c>
    </row>
    <row r="26" ht="15" customHeight="1" s="42">
      <c r="A26" s="44" t="inlineStr">
        <is>
          <t>R25</t>
        </is>
      </c>
      <c r="B26" s="47" t="inlineStr">
        <is>
          <t>6 Chemical collection</t>
        </is>
      </c>
      <c r="C26" s="47" t="inlineStr">
        <is>
          <t>Heavy-metal collection</t>
        </is>
      </c>
      <c r="D26" s="47" t="inlineStr">
        <is>
          <t>Collected for metal recovery or specialist treatment.</t>
        </is>
      </c>
      <c r="E26" s="47" t="inlineStr">
        <is>
          <t>Mercury, cadmium, lead, silver stain waste</t>
        </is>
      </c>
      <c r="F26" s="47" t="inlineStr">
        <is>
          <t>Labelled metal-waste container</t>
        </is>
      </c>
      <c r="G26" s="45">
        <f>COUNTIF(Categories!$I$2:$I$36,A26)</f>
        <v/>
      </c>
    </row>
    <row r="27" ht="15" customHeight="1" s="42">
      <c r="A27" s="44" t="inlineStr">
        <is>
          <t>R26</t>
        </is>
      </c>
      <c r="B27" s="47" t="inlineStr">
        <is>
          <t>7 Recycling and general</t>
        </is>
      </c>
      <c r="C27" s="47" t="inlineStr">
        <is>
          <t>Dry mixed recycling</t>
        </is>
      </c>
      <c r="D27" s="47" t="inlineStr">
        <is>
          <t>Collected with site recycling.</t>
        </is>
      </c>
      <c r="E27" s="47" t="inlineStr">
        <is>
          <t>Clean paper, cardboard, plastic packaging</t>
        </is>
      </c>
      <c r="F27" s="47" t="inlineStr">
        <is>
          <t>Recycling bin</t>
        </is>
      </c>
      <c r="G27" s="45">
        <f>COUNTIF(Categories!$I$2:$I$36,A27)</f>
        <v/>
      </c>
    </row>
    <row r="28" ht="15" customHeight="1" s="42">
      <c r="A28" s="44" t="inlineStr">
        <is>
          <t>R27</t>
        </is>
      </c>
      <c r="B28" s="47" t="inlineStr">
        <is>
          <t>7 Recycling and general</t>
        </is>
      </c>
      <c r="C28" s="47" t="inlineStr">
        <is>
          <t>Clean glass recycling</t>
        </is>
      </c>
      <c r="D28" s="47" t="inlineStr">
        <is>
          <t>Rinsed glass collected for recycling.</t>
        </is>
      </c>
      <c r="E28" s="47" t="inlineStr">
        <is>
          <t>Rinsed bottles</t>
        </is>
      </c>
      <c r="F28" s="47" t="inlineStr">
        <is>
          <t>Glass bin</t>
        </is>
      </c>
      <c r="G28" s="45">
        <f>COUNTIF(Categories!$I$2:$I$36,A28)</f>
        <v/>
      </c>
    </row>
    <row r="29" ht="15" customHeight="1" s="42">
      <c r="A29" s="44" t="inlineStr">
        <is>
          <t>R28</t>
        </is>
      </c>
      <c r="B29" s="47" t="inlineStr">
        <is>
          <t>7 Recycling and general</t>
        </is>
      </c>
      <c r="C29" s="47" t="inlineStr">
        <is>
          <t>Supplier or manufacturer take-back</t>
        </is>
      </c>
      <c r="D29" s="47" t="inlineStr">
        <is>
          <t>Returned through a supplier scheme.</t>
        </is>
      </c>
      <c r="E29" s="47" t="inlineStr">
        <is>
          <t>Polystyrene boxes, cool packs, some tip racks</t>
        </is>
      </c>
      <c r="F29" s="47" t="inlineStr">
        <is>
          <t>Collection point</t>
        </is>
      </c>
      <c r="G29" s="45">
        <f>COUNTIF(Categories!$I$2:$I$36,A29)</f>
        <v/>
      </c>
    </row>
    <row r="30" ht="15" customHeight="1" s="42">
      <c r="A30" s="44" t="inlineStr">
        <is>
          <t>R29</t>
        </is>
      </c>
      <c r="B30" s="47" t="inlineStr">
        <is>
          <t>7 Recycling and general</t>
        </is>
      </c>
      <c r="C30" s="47" t="inlineStr">
        <is>
          <t>General waste</t>
        </is>
      </c>
      <c r="D30" s="47" t="inlineStr">
        <is>
          <t>Collected with general site waste.</t>
        </is>
      </c>
      <c r="E30" s="47" t="inlineStr">
        <is>
          <t>Genuinely uncontaminated items</t>
        </is>
      </c>
      <c r="F30" s="47" t="inlineStr">
        <is>
          <t>Black bag</t>
        </is>
      </c>
      <c r="G30" s="45">
        <f>COUNTIF(Categories!$I$2:$I$36,A30)</f>
        <v/>
      </c>
    </row>
    <row r="31" ht="15" customHeight="1" s="42">
      <c r="A31" s="44" t="inlineStr">
        <is>
          <t>R30</t>
        </is>
      </c>
      <c r="B31" s="47" t="inlineStr">
        <is>
          <t>8 Specialist, regulated, out of scope</t>
        </is>
      </c>
      <c r="C31" s="47" t="inlineStr">
        <is>
          <t>Radioactive (Radiation Protection Supervisor)</t>
        </is>
      </c>
      <c r="D31" s="47" t="inlineStr">
        <is>
          <t>Never handled by this tool. Referred to the Radiation Protection Supervisor.</t>
        </is>
      </c>
      <c r="E31" s="47" t="inlineStr">
        <is>
          <t>Radiolabelled material</t>
        </is>
      </c>
      <c r="F31" s="47" t="inlineStr">
        <is>
          <t>Per local radiation rules</t>
        </is>
      </c>
      <c r="G31" s="45">
        <f>COUNTIF(Categories!$I$2:$I$36,A31)</f>
        <v/>
      </c>
    </row>
    <row r="32" ht="15" customHeight="1" s="42">
      <c r="A32" s="44" t="inlineStr">
        <is>
          <t>R31</t>
        </is>
      </c>
      <c r="B32" s="47" t="inlineStr">
        <is>
          <t>8 Specialist, regulated, out of scope</t>
        </is>
      </c>
      <c r="C32" s="47" t="inlineStr">
        <is>
          <t>WEEE (electronics)</t>
        </is>
      </c>
      <c r="D32" s="47" t="inlineStr">
        <is>
          <t>Collected as electronic waste after decontamination.</t>
        </is>
      </c>
      <c r="E32" s="47" t="inlineStr">
        <is>
          <t>Old equipment, plate readers</t>
        </is>
      </c>
      <c r="F32" s="47" t="inlineStr">
        <is>
          <t>WEEE collection</t>
        </is>
      </c>
      <c r="G32" s="45">
        <f>COUNTIF(Categories!$I$2:$I$36,A32)</f>
        <v/>
      </c>
    </row>
    <row r="33" ht="15" customHeight="1" s="42">
      <c r="A33" s="44" t="inlineStr">
        <is>
          <t>R32</t>
        </is>
      </c>
      <c r="B33" s="47" t="inlineStr">
        <is>
          <t>8 Specialist, regulated, out of scope</t>
        </is>
      </c>
      <c r="C33" s="47" t="inlineStr">
        <is>
          <t>Battery collection</t>
        </is>
      </c>
      <c r="D33" s="47" t="inlineStr">
        <is>
          <t>Collected separately for recycling.</t>
        </is>
      </c>
      <c r="E33" s="47" t="inlineStr">
        <is>
          <t>Instrument and device batteries</t>
        </is>
      </c>
      <c r="F33" s="47" t="inlineStr">
        <is>
          <t>Battery tub</t>
        </is>
      </c>
      <c r="G33" s="45">
        <f>COUNTIF(Categories!$I$2:$I$36,A33)</f>
        <v/>
      </c>
    </row>
    <row r="34" ht="15" customHeight="1" s="42">
      <c r="A34" s="44" t="inlineStr">
        <is>
          <t>R33</t>
        </is>
      </c>
      <c r="B34" s="47" t="inlineStr">
        <is>
          <t>8 Specialist, regulated, out of scope</t>
        </is>
      </c>
      <c r="C34" s="47" t="inlineStr">
        <is>
          <t>Lamp collection</t>
        </is>
      </c>
      <c r="D34" s="47" t="inlineStr">
        <is>
          <t>Collected separately; many lamps contain mercury.</t>
        </is>
      </c>
      <c r="E34" s="47" t="inlineStr">
        <is>
          <t>UV bulbs, fluorescent tubes</t>
        </is>
      </c>
      <c r="F34" s="47" t="inlineStr">
        <is>
          <t>Lamp box</t>
        </is>
      </c>
      <c r="G34" s="45">
        <f>COUNTIF(Categories!$I$2:$I$36,A34)</f>
        <v/>
      </c>
    </row>
    <row r="35" ht="15" customHeight="1" s="42">
      <c r="A35" s="44" t="inlineStr">
        <is>
          <t>R34</t>
        </is>
      </c>
      <c r="B35" s="47" t="inlineStr">
        <is>
          <t>8 Specialist, regulated, out of scope</t>
        </is>
      </c>
      <c r="C35" s="47" t="inlineStr">
        <is>
          <t>Gas cylinder return</t>
        </is>
      </c>
      <c r="D35" s="47" t="inlineStr">
        <is>
          <t>Returned to the supplier.</t>
        </is>
      </c>
      <c r="E35" s="47" t="inlineStr">
        <is>
          <t>Empty or unwanted cylinders</t>
        </is>
      </c>
      <c r="F35" s="47" t="inlineStr">
        <is>
          <t>Cylinder store</t>
        </is>
      </c>
      <c r="G35" s="45">
        <f>COUNTIF(Categories!$I$2:$I$36,A35)</f>
        <v/>
      </c>
    </row>
    <row r="36" ht="15" customHeight="1" s="42">
      <c r="A36" s="44" t="inlineStr">
        <is>
          <t>R35</t>
        </is>
      </c>
      <c r="B36" s="47" t="inlineStr">
        <is>
          <t>8 Specialist, regulated, out of scope</t>
        </is>
      </c>
      <c r="C36" s="47" t="inlineStr">
        <is>
          <t>Animal waste (out of scope)</t>
        </is>
      </c>
      <c r="D36" s="47" t="inlineStr">
        <is>
          <t>Handled by the animal facility procedure; the tool escalates.</t>
        </is>
      </c>
      <c r="E36" s="47" t="inlineStr">
        <is>
          <t>Carcasses, bedding</t>
        </is>
      </c>
      <c r="F36" s="47" t="inlineStr">
        <is>
          <t>Per facility procedure</t>
        </is>
      </c>
      <c r="G36" s="45">
        <f>COUNTIF(Categories!$I$2:$I$36,A36)</f>
        <v/>
      </c>
    </row>
    <row r="37" ht="15" customHeight="1" s="42">
      <c r="A37" s="44" t="inlineStr">
        <is>
          <t>R36</t>
        </is>
      </c>
      <c r="B37" s="47" t="inlineStr">
        <is>
          <t>8 Specialist, regulated, out of scope</t>
        </is>
      </c>
      <c r="C37" s="47" t="inlineStr">
        <is>
          <t>High-containment pathogens (out of scope)</t>
        </is>
      </c>
      <c r="D37" s="47" t="inlineStr">
        <is>
          <t>Handled by the containment facility procedure; the tool escalates.</t>
        </is>
      </c>
      <c r="E37" s="47" t="inlineStr">
        <is>
          <t>Pathogens above containment level 2</t>
        </is>
      </c>
      <c r="F37" s="47" t="inlineStr">
        <is>
          <t>Per facility procedure</t>
        </is>
      </c>
      <c r="G37" s="45">
        <f>COUNTIF(Categories!$I$2:$I$36,A37)</f>
        <v/>
      </c>
    </row>
    <row r="38" ht="15" customHeight="1" s="42">
      <c r="A38" s="44" t="inlineStr">
        <is>
          <t>R37</t>
        </is>
      </c>
      <c r="B38" s="47" t="inlineStr">
        <is>
          <t>9 Non-disposal</t>
        </is>
      </c>
      <c r="C38" s="47" t="inlineStr">
        <is>
          <t>Reuse / redistribute</t>
        </is>
      </c>
      <c r="D38" s="47" t="inlineStr">
        <is>
          <t>Surplus offered to other labs before disposal.</t>
        </is>
      </c>
      <c r="E38" s="47" t="inlineStr">
        <is>
          <t>Unopened, in-date reagents and consumables</t>
        </is>
      </c>
      <c r="F38" s="47" t="inlineStr">
        <is>
          <t>Chemical exchange shelf</t>
        </is>
      </c>
      <c r="G38" s="45">
        <f>COUNTIF(Categories!$I$2:$I$36,A38)</f>
        <v/>
      </c>
    </row>
    <row r="39" ht="23.85" customHeight="1" s="42">
      <c r="A39" s="44" t="inlineStr">
        <is>
          <t>R38</t>
        </is>
      </c>
      <c r="B39" s="47" t="inlineStr">
        <is>
          <t>9 Non-disposal</t>
        </is>
      </c>
      <c r="C39" s="47" t="inlineStr">
        <is>
          <t>Hold and escalate</t>
        </is>
      </c>
      <c r="D39" s="47" t="inlineStr">
        <is>
          <t>Item is quarantined and referred to the supervisor or safety officer. The tool's safe fallback.</t>
        </is>
      </c>
      <c r="E39" s="47" t="inlineStr">
        <is>
          <t>Unlabelled, unidentified or unmatched items</t>
        </is>
      </c>
      <c r="F39" s="47" t="inlineStr">
        <is>
          <t>Label and quarantine</t>
        </is>
      </c>
      <c r="G39" s="45">
        <f>COUNTIF(Categories!$I$2:$I$36,A39)</f>
        <v/>
      </c>
    </row>
  </sheetData>
  <autoFilter ref="A1:G3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8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1" min="1" max="1"/>
    <col width="52" customWidth="1" style="41" min="2" max="2"/>
    <col width="38" customWidth="1" style="41" min="3" max="3"/>
    <col width="13" customWidth="1" style="41" min="4" max="4"/>
    <col width="30" customWidth="1" style="41" min="5" max="5"/>
    <col width="32" customWidth="1" style="41" min="6" max="6"/>
    <col width="46" customWidth="1" style="41" min="7" max="7"/>
    <col width="34" customWidth="1" style="41" min="8" max="8"/>
    <col width="48" customWidth="1" style="41" min="9" max="9"/>
    <col width="40" customWidth="1" style="41" min="10" max="10"/>
    <col width="14" customWidth="1" style="41" min="11" max="11"/>
  </cols>
  <sheetData>
    <row r="1" ht="30" customHeight="1" s="42">
      <c r="A1" s="46" t="inlineStr">
        <is>
          <t>Item ID</t>
        </is>
      </c>
      <c r="B1" s="46" t="inlineStr">
        <is>
          <t>Item</t>
        </is>
      </c>
      <c r="C1" s="46" t="inlineStr">
        <is>
          <t>Search terms / aliases</t>
        </is>
      </c>
      <c r="D1" s="46" t="inlineStr">
        <is>
          <t>Category ID</t>
        </is>
      </c>
      <c r="E1" s="46" t="inlineStr">
        <is>
          <t>Category</t>
        </is>
      </c>
      <c r="F1" s="46" t="inlineStr">
        <is>
          <t>Container</t>
        </is>
      </c>
      <c r="G1" s="46" t="inlineStr">
        <is>
          <t>Pre-treatment / steps</t>
        </is>
      </c>
      <c r="H1" s="46" t="inlineStr">
        <is>
          <t>Hazard flags</t>
        </is>
      </c>
      <c r="I1" s="46" t="inlineStr">
        <is>
          <t>Do NOT</t>
        </is>
      </c>
      <c r="J1" s="46" t="inlineStr">
        <is>
          <t>Why (one line)</t>
        </is>
      </c>
      <c r="K1" s="46" t="inlineStr">
        <is>
          <t>Confidence</t>
        </is>
      </c>
    </row>
    <row r="2" ht="15" customHeight="1" s="42">
      <c r="A2" s="44" t="inlineStr">
        <is>
          <t>I001</t>
        </is>
      </c>
      <c r="B2" s="47" t="inlineStr">
        <is>
          <t>Used gloves - no biological or chemical contact</t>
        </is>
      </c>
      <c r="C2" s="47" t="inlineStr">
        <is>
          <t>nitrile gloves, PPE, latex</t>
        </is>
      </c>
      <c r="D2" s="47" t="inlineStr">
        <is>
          <t>GEN</t>
        </is>
      </c>
      <c r="E2" s="45">
        <f>INDEX(Categories!$B$2:$B$36,MATCH(D2,Categories!$A$2:$A$36,0))</f>
        <v/>
      </c>
      <c r="F2" s="45">
        <f>INDEX(Categories!$D$2:$D$36,MATCH(D2,Categories!$A$2:$A$36,0))</f>
        <v/>
      </c>
      <c r="G2" s="47" t="inlineStr">
        <is>
          <t>Remove without touching the outer surface.</t>
        </is>
      </c>
      <c r="H2" s="47" t="n"/>
      <c r="I2" s="47" t="inlineStr">
        <is>
          <t>Not if the gloves touched cell culture, reagents or lysates.</t>
        </is>
      </c>
      <c r="J2" s="47" t="inlineStr">
        <is>
          <t>Nothing hazardous present.</t>
        </is>
      </c>
      <c r="K2" s="47" t="inlineStr">
        <is>
          <t>Medium</t>
        </is>
      </c>
    </row>
    <row r="3" ht="15" customHeight="1" s="42">
      <c r="A3" s="44" t="inlineStr">
        <is>
          <t>I002</t>
        </is>
      </c>
      <c r="B3" s="47" t="inlineStr">
        <is>
          <t>Bench roll / paper towels - uncontaminated</t>
        </is>
      </c>
      <c r="C3" s="47" t="inlineStr">
        <is>
          <t>tissue, blue roll</t>
        </is>
      </c>
      <c r="D3" s="47" t="inlineStr">
        <is>
          <t>GEN</t>
        </is>
      </c>
      <c r="E3" s="45">
        <f>INDEX(Categories!$B$2:$B$36,MATCH(D3,Categories!$A$2:$A$36,0))</f>
        <v/>
      </c>
      <c r="F3" s="45">
        <f>INDEX(Categories!$D$2:$D$36,MATCH(D3,Categories!$A$2:$A$36,0))</f>
        <v/>
      </c>
      <c r="G3" s="47" t="n"/>
      <c r="H3" s="47" t="n"/>
      <c r="I3" s="47" t="n"/>
      <c r="J3" s="47" t="inlineStr">
        <is>
          <t>Nothing hazardous present.</t>
        </is>
      </c>
      <c r="K3" s="47" t="inlineStr">
        <is>
          <t>High</t>
        </is>
      </c>
    </row>
    <row r="4" ht="15" customHeight="1" s="42">
      <c r="A4" s="44" t="inlineStr">
        <is>
          <t>I003</t>
        </is>
      </c>
      <c r="B4" s="47" t="inlineStr">
        <is>
          <t>Wipes - clean surface, 70% ethanol only</t>
        </is>
      </c>
      <c r="C4" s="47" t="inlineStr">
        <is>
          <t>ethanol wipes, surface wipes</t>
        </is>
      </c>
      <c r="D4" s="47" t="inlineStr">
        <is>
          <t>GEN</t>
        </is>
      </c>
      <c r="E4" s="45">
        <f>INDEX(Categories!$B$2:$B$36,MATCH(D4,Categories!$A$2:$A$36,0))</f>
        <v/>
      </c>
      <c r="F4" s="45">
        <f>INDEX(Categories!$D$2:$D$36,MATCH(D4,Categories!$A$2:$A$36,0))</f>
        <v/>
      </c>
      <c r="G4" s="47" t="n"/>
      <c r="H4" s="47" t="n"/>
      <c r="I4" s="47" t="inlineStr">
        <is>
          <t>Not if wiping up spills of anything other than ethanol.</t>
        </is>
      </c>
      <c r="J4" s="47" t="inlineStr">
        <is>
          <t>Trace ethanol only, no contamination.</t>
        </is>
      </c>
      <c r="K4" s="47" t="inlineStr">
        <is>
          <t>Medium</t>
        </is>
      </c>
    </row>
    <row r="5" ht="15" customHeight="1" s="42">
      <c r="A5" s="44" t="inlineStr">
        <is>
          <t>I004</t>
        </is>
      </c>
      <c r="B5" s="47" t="inlineStr">
        <is>
          <t>Cardboard and paper packaging (kit boxes, sleeves)</t>
        </is>
      </c>
      <c r="C5" s="47" t="inlineStr">
        <is>
          <t>kit box, carton</t>
        </is>
      </c>
      <c r="D5" s="47" t="inlineStr">
        <is>
          <t>REC</t>
        </is>
      </c>
      <c r="E5" s="45">
        <f>INDEX(Categories!$B$2:$B$36,MATCH(D5,Categories!$A$2:$A$36,0))</f>
        <v/>
      </c>
      <c r="F5" s="45">
        <f>INDEX(Categories!$D$2:$D$36,MATCH(D5,Categories!$A$2:$A$36,0))</f>
        <v/>
      </c>
      <c r="G5" s="47" t="inlineStr">
        <is>
          <t>Flatten; remove hazard labels.</t>
        </is>
      </c>
      <c r="H5" s="47" t="n"/>
      <c r="I5" s="47" t="n"/>
      <c r="J5" s="47" t="inlineStr">
        <is>
          <t>Clean packaging.</t>
        </is>
      </c>
      <c r="K5" s="47" t="inlineStr">
        <is>
          <t>High</t>
        </is>
      </c>
    </row>
    <row r="6" ht="15" customHeight="1" s="42">
      <c r="A6" s="44" t="inlineStr">
        <is>
          <t>I005</t>
        </is>
      </c>
      <c r="B6" s="47" t="inlineStr">
        <is>
          <t>Empty tip racks / plastic packaging - clean and unused</t>
        </is>
      </c>
      <c r="C6" s="47" t="inlineStr">
        <is>
          <t>tip box, rack</t>
        </is>
      </c>
      <c r="D6" s="47" t="inlineStr">
        <is>
          <t>REC</t>
        </is>
      </c>
      <c r="E6" s="45">
        <f>INDEX(Categories!$B$2:$B$36,MATCH(D6,Categories!$A$2:$A$36,0))</f>
        <v/>
      </c>
      <c r="F6" s="45">
        <f>INDEX(Categories!$D$2:$D$36,MATCH(D6,Categories!$A$2:$A$36,0))</f>
        <v/>
      </c>
      <c r="G6" s="47" t="inlineStr">
        <is>
          <t>Only if clean.</t>
        </is>
      </c>
      <c r="H6" s="47" t="n"/>
      <c r="I6" s="47" t="inlineStr">
        <is>
          <t>Not if it held used consumables.</t>
        </is>
      </c>
      <c r="J6" s="47" t="inlineStr">
        <is>
          <t>Clean plastic.</t>
        </is>
      </c>
      <c r="K6" s="47" t="inlineStr">
        <is>
          <t>Medium</t>
        </is>
      </c>
    </row>
    <row r="7" ht="23.85" customHeight="1" s="42">
      <c r="A7" s="44" t="inlineStr">
        <is>
          <t>I006</t>
        </is>
      </c>
      <c r="B7" s="47" t="inlineStr">
        <is>
          <t>Empty reagent bottles / clean glass (rinsed)</t>
        </is>
      </c>
      <c r="C7" s="47" t="inlineStr">
        <is>
          <t>bottle, Schott, Duran, empty bottle</t>
        </is>
      </c>
      <c r="D7" s="47" t="inlineStr">
        <is>
          <t>GLS</t>
        </is>
      </c>
      <c r="E7" s="45">
        <f>INDEX(Categories!$B$2:$B$36,MATCH(D7,Categories!$A$2:$A$36,0))</f>
        <v/>
      </c>
      <c r="F7" s="45">
        <f>INDEX(Categories!$D$2:$D$36,MATCH(D7,Categories!$A$2:$A$36,0))</f>
        <v/>
      </c>
      <c r="G7" s="47" t="inlineStr">
        <is>
          <t>Triple-rinse; send rinsate to the correct liquid stream; deface label; remove cap.</t>
        </is>
      </c>
      <c r="H7" s="47" t="n"/>
      <c r="I7" s="47" t="inlineStr">
        <is>
          <t>Do not bin unrinsed bottles that held hazardous chemicals.</t>
        </is>
      </c>
      <c r="J7" s="47" t="inlineStr">
        <is>
          <t>Rinsed empty glass is non-hazardous.</t>
        </is>
      </c>
      <c r="K7" s="47" t="inlineStr">
        <is>
          <t>Medium</t>
        </is>
      </c>
    </row>
    <row r="8" ht="23.85" customHeight="1" s="42">
      <c r="A8" s="44" t="inlineStr">
        <is>
          <t>I007</t>
        </is>
      </c>
      <c r="B8" s="47" t="inlineStr">
        <is>
          <t>Broken glass - uncontaminated (Pasteur pipettes, slides, coverslips)</t>
        </is>
      </c>
      <c r="C8" s="47" t="inlineStr">
        <is>
          <t>glass pipette, coverslip, microscope slide</t>
        </is>
      </c>
      <c r="D8" s="47" t="inlineStr">
        <is>
          <t>GLS</t>
        </is>
      </c>
      <c r="E8" s="45">
        <f>INDEX(Categories!$B$2:$B$36,MATCH(D8,Categories!$A$2:$A$36,0))</f>
        <v/>
      </c>
      <c r="F8" s="45">
        <f>INDEX(Categories!$D$2:$D$36,MATCH(D8,Categories!$A$2:$A$36,0))</f>
        <v/>
      </c>
      <c r="G8" s="47" t="inlineStr">
        <is>
          <t>Rigid broken-glass box only, never a bag.</t>
        </is>
      </c>
      <c r="H8" s="47" t="inlineStr">
        <is>
          <t>SHARP</t>
        </is>
      </c>
      <c r="I8" s="47" t="n"/>
      <c r="J8" s="47" t="inlineStr">
        <is>
          <t>Sharp but not contaminated.</t>
        </is>
      </c>
      <c r="K8" s="47" t="inlineStr">
        <is>
          <t>Medium</t>
        </is>
      </c>
    </row>
    <row r="9" ht="23.85" customHeight="1" s="42">
      <c r="A9" s="44" t="inlineStr">
        <is>
          <t>I008</t>
        </is>
      </c>
      <c r="B9" s="47" t="inlineStr">
        <is>
          <t>Cell culture flasks, plates and dishes (non-GM, media aspirated)</t>
        </is>
      </c>
      <c r="C9" s="47" t="inlineStr">
        <is>
          <t>T75, T25, 6-well, 96-well, petri dish</t>
        </is>
      </c>
      <c r="D9" s="47" t="inlineStr">
        <is>
          <t>BIO-AUT</t>
        </is>
      </c>
      <c r="E9" s="45">
        <f>INDEX(Categories!$B$2:$B$36,MATCH(D9,Categories!$A$2:$A$36,0))</f>
        <v/>
      </c>
      <c r="F9" s="45">
        <f>INDEX(Categories!$D$2:$D$36,MATCH(D9,Categories!$A$2:$A$36,0))</f>
        <v/>
      </c>
      <c r="G9" s="47" t="inlineStr">
        <is>
          <t>Aspirate media into the biological liquid waste first; bag loosely; autoclave.</t>
        </is>
      </c>
      <c r="H9" s="47" t="inlineStr">
        <is>
          <t>BIOHAZARD</t>
        </is>
      </c>
      <c r="I9" s="47" t="inlineStr">
        <is>
          <t>No bleach, solvents or cytotoxic-treated cells in this bag.</t>
        </is>
      </c>
      <c r="J9" s="47" t="inlineStr">
        <is>
          <t>Biological material, autoclave route.</t>
        </is>
      </c>
      <c r="K9" s="47" t="inlineStr">
        <is>
          <t>High</t>
        </is>
      </c>
    </row>
    <row r="10" ht="23.85" customHeight="1" s="42">
      <c r="A10" s="44" t="inlineStr">
        <is>
          <t>I009</t>
        </is>
      </c>
      <c r="B10" s="47" t="inlineStr">
        <is>
          <t>Serological pipettes (plastic) - cell culture</t>
        </is>
      </c>
      <c r="C10" s="47" t="inlineStr">
        <is>
          <t>stripette, pipette</t>
        </is>
      </c>
      <c r="D10" s="47" t="inlineStr">
        <is>
          <t>BIO-AUT</t>
        </is>
      </c>
      <c r="E10" s="45">
        <f>INDEX(Categories!$B$2:$B$36,MATCH(D10,Categories!$A$2:$A$36,0))</f>
        <v/>
      </c>
      <c r="F10" s="45">
        <f>INDEX(Categories!$D$2:$D$36,MATCH(D10,Categories!$A$2:$A$36,0))</f>
        <v/>
      </c>
      <c r="G10" s="47" t="inlineStr">
        <is>
          <t>Tip-down in a rigid pipette discard tub; autoclave the tub.</t>
        </is>
      </c>
      <c r="H10" s="47" t="inlineStr">
        <is>
          <t>BIOHAZARD;SHARP</t>
        </is>
      </c>
      <c r="I10" s="47" t="n"/>
      <c r="J10" s="47" t="inlineStr">
        <is>
          <t>Biological contact with a puncture risk.</t>
        </is>
      </c>
      <c r="K10" s="47" t="inlineStr">
        <is>
          <t>Medium</t>
        </is>
      </c>
    </row>
    <row r="11" ht="23.85" customHeight="1" s="42">
      <c r="A11" s="44" t="inlineStr">
        <is>
          <t>I010</t>
        </is>
      </c>
      <c r="B11" s="47" t="inlineStr">
        <is>
          <t>Pipette tips and microtubes - biological sample contact</t>
        </is>
      </c>
      <c r="C11" s="47" t="inlineStr">
        <is>
          <t>tips, eppendorf, microcentrifuge tube</t>
        </is>
      </c>
      <c r="D11" s="47" t="inlineStr">
        <is>
          <t>BIO-AUT</t>
        </is>
      </c>
      <c r="E11" s="45">
        <f>INDEX(Categories!$B$2:$B$36,MATCH(D11,Categories!$A$2:$A$36,0))</f>
        <v/>
      </c>
      <c r="F11" s="45">
        <f>INDEX(Categories!$D$2:$D$36,MATCH(D11,Categories!$A$2:$A$36,0))</f>
        <v/>
      </c>
      <c r="G11" s="47" t="inlineStr">
        <is>
          <t>Autoclave route.</t>
        </is>
      </c>
      <c r="H11" s="47" t="inlineStr">
        <is>
          <t>BIOHAZARD</t>
        </is>
      </c>
      <c r="I11" s="47" t="inlineStr">
        <is>
          <t>Not if contaminated with solvents, guanidinium, CMR agents or cytotoxics.</t>
        </is>
      </c>
      <c r="J11" s="47" t="inlineStr">
        <is>
          <t>Biological contact only.</t>
        </is>
      </c>
      <c r="K11" s="47" t="inlineStr">
        <is>
          <t>Medium</t>
        </is>
      </c>
    </row>
    <row r="12" ht="23.85" customHeight="1" s="42">
      <c r="A12" s="44" t="inlineStr">
        <is>
          <t>I011</t>
        </is>
      </c>
      <c r="B12" s="47" t="inlineStr">
        <is>
          <t>Gloves - biological contact (cell culture, lysates)</t>
        </is>
      </c>
      <c r="C12" s="47" t="inlineStr">
        <is>
          <t>gloves, PPE</t>
        </is>
      </c>
      <c r="D12" s="47" t="inlineStr">
        <is>
          <t>BIO-AUT</t>
        </is>
      </c>
      <c r="E12" s="45">
        <f>INDEX(Categories!$B$2:$B$36,MATCH(D12,Categories!$A$2:$A$36,0))</f>
        <v/>
      </c>
      <c r="F12" s="45">
        <f>INDEX(Categories!$D$2:$D$36,MATCH(D12,Categories!$A$2:$A$36,0))</f>
        <v/>
      </c>
      <c r="G12" s="47" t="inlineStr">
        <is>
          <t>Autoclave route.</t>
        </is>
      </c>
      <c r="H12" s="47" t="inlineStr">
        <is>
          <t>BIOHAZARD</t>
        </is>
      </c>
      <c r="I12" s="47" t="n"/>
      <c r="J12" s="47" t="inlineStr">
        <is>
          <t>Biological contact.</t>
        </is>
      </c>
      <c r="K12" s="47" t="inlineStr">
        <is>
          <t>Medium</t>
        </is>
      </c>
    </row>
    <row r="13" ht="23.85" customHeight="1" s="42">
      <c r="A13" s="44" t="inlineStr">
        <is>
          <t>I012</t>
        </is>
      </c>
      <c r="B13" s="47" t="inlineStr">
        <is>
          <t>Used cryovials (empty)</t>
        </is>
      </c>
      <c r="C13" s="47" t="inlineStr">
        <is>
          <t>cryotube, freezing vial</t>
        </is>
      </c>
      <c r="D13" s="47" t="inlineStr">
        <is>
          <t>BIO-AUT</t>
        </is>
      </c>
      <c r="E13" s="45">
        <f>INDEX(Categories!$B$2:$B$36,MATCH(D13,Categories!$A$2:$A$36,0))</f>
        <v/>
      </c>
      <c r="F13" s="45">
        <f>INDEX(Categories!$D$2:$D$36,MATCH(D13,Categories!$A$2:$A$36,0))</f>
        <v/>
      </c>
      <c r="G13" s="47" t="inlineStr">
        <is>
          <t>Autoclave route.</t>
        </is>
      </c>
      <c r="H13" s="47" t="inlineStr">
        <is>
          <t>BIOHAZARD</t>
        </is>
      </c>
      <c r="I13" s="47" t="n"/>
      <c r="J13" s="47" t="inlineStr">
        <is>
          <t>Biological contact.</t>
        </is>
      </c>
      <c r="K13" s="47" t="inlineStr">
        <is>
          <t>Medium</t>
        </is>
      </c>
    </row>
    <row r="14" ht="35.05" customHeight="1" s="42">
      <c r="A14" s="44" t="inlineStr">
        <is>
          <t>I013</t>
        </is>
      </c>
      <c r="B14" s="47" t="inlineStr">
        <is>
          <t>Aspirated media, PBS and trypsin washes (no hazardous additives)</t>
        </is>
      </c>
      <c r="C14" s="47" t="inlineStr">
        <is>
          <t>culture media, supernatant, DMEM, RPMI, FBS</t>
        </is>
      </c>
      <c r="D14" s="47" t="inlineStr">
        <is>
          <t>BIO-LIQ</t>
        </is>
      </c>
      <c r="E14" s="45">
        <f>INDEX(Categories!$B$2:$B$36,MATCH(D14,Categories!$A$2:$A$36,0))</f>
        <v/>
      </c>
      <c r="F14" s="45">
        <f>INDEX(Categories!$D$2:$D$36,MATCH(D14,Categories!$A$2:$A$36,0))</f>
        <v/>
      </c>
      <c r="G14" s="47" t="inlineStr">
        <is>
          <t>Inactivate with hypochlorite per your SOP then drain, or autoclave in a suitable vessel.</t>
        </is>
      </c>
      <c r="H14" s="47" t="inlineStr">
        <is>
          <t>BIOHAZARD</t>
        </is>
      </c>
      <c r="I14" s="47" t="inlineStr">
        <is>
          <t>Do not add bleach if guanidinium, acid, formaldehyde, ammonium or solvents are present. Do not autoclave after bleach is added.</t>
        </is>
      </c>
      <c r="J14" s="47" t="inlineStr">
        <is>
          <t>Biological liquid needing inactivation.</t>
        </is>
      </c>
      <c r="K14" s="47" t="inlineStr">
        <is>
          <t>High</t>
        </is>
      </c>
    </row>
    <row r="15" ht="23.85" customHeight="1" s="42">
      <c r="A15" s="44" t="inlineStr">
        <is>
          <t>I014</t>
        </is>
      </c>
      <c r="B15" s="47" t="inlineStr">
        <is>
          <t>Transfected / virally transduced cell waste (solids and liquids)</t>
        </is>
      </c>
      <c r="C15" s="47" t="inlineStr">
        <is>
          <t>lentivirus, transfection, GM, transduced cells</t>
        </is>
      </c>
      <c r="D15" s="47" t="inlineStr">
        <is>
          <t>BIO-GM</t>
        </is>
      </c>
      <c r="E15" s="45">
        <f>INDEX(Categories!$B$2:$B$36,MATCH(D15,Categories!$A$2:$A$36,0))</f>
        <v/>
      </c>
      <c r="F15" s="45">
        <f>INDEX(Categories!$D$2:$D$36,MATCH(D15,Categories!$A$2:$A$36,0))</f>
        <v/>
      </c>
      <c r="G15" s="47" t="inlineStr">
        <is>
          <t>Inactivate before it leaves the lab; vectors follow the containment-level SOP; label as GM.</t>
        </is>
      </c>
      <c r="H15" s="47" t="inlineStr">
        <is>
          <t>GM;BIOHAZARD</t>
        </is>
      </c>
      <c r="I15" s="47" t="inlineStr">
        <is>
          <t>Do not mix with non-GM waste if policy requires separation.</t>
        </is>
      </c>
      <c r="J15" s="47" t="inlineStr">
        <is>
          <t>GM material must be inactivated.</t>
        </is>
      </c>
      <c r="K15" s="47" t="inlineStr">
        <is>
          <t>Verify locally</t>
        </is>
      </c>
    </row>
    <row r="16" ht="23.85" customHeight="1" s="42">
      <c r="A16" s="44" t="inlineStr">
        <is>
          <t>I015</t>
        </is>
      </c>
      <c r="B16" s="47" t="inlineStr">
        <is>
          <t>Cell culture waste from cytotoxic drug treatment</t>
        </is>
      </c>
      <c r="C16" s="47" t="inlineStr">
        <is>
          <t>cisplatin, doxorubicin, drug treated cells, chemotherapy</t>
        </is>
      </c>
      <c r="D16" s="47" t="inlineStr">
        <is>
          <t>CYT</t>
        </is>
      </c>
      <c r="E16" s="45">
        <f>INDEX(Categories!$B$2:$B$36,MATCH(D16,Categories!$A$2:$A$36,0))</f>
        <v/>
      </c>
      <c r="F16" s="45">
        <f>INDEX(Categories!$D$2:$D$36,MATCH(D16,Categories!$A$2:$A$36,0))</f>
        <v/>
      </c>
      <c r="G16" s="47" t="inlineStr">
        <is>
          <t>Collect in the purple stream.</t>
        </is>
      </c>
      <c r="H16" s="47" t="inlineStr">
        <is>
          <t>CYTOTOXIC;TOXIC;NO_DRAIN;NO_AUTOCLAVE</t>
        </is>
      </c>
      <c r="I16" s="47" t="inlineStr">
        <is>
          <t>Do not autoclave or bleach-and-drain.</t>
        </is>
      </c>
      <c r="J16" s="47" t="inlineStr">
        <is>
          <t>Cytotoxic exposure overrides the biological route.</t>
        </is>
      </c>
      <c r="K16" s="47" t="inlineStr">
        <is>
          <t>High</t>
        </is>
      </c>
    </row>
    <row r="17" ht="15" customHeight="1" s="42">
      <c r="A17" s="44" t="inlineStr">
        <is>
          <t>I016</t>
        </is>
      </c>
      <c r="B17" s="47" t="inlineStr">
        <is>
          <t>Human / animal tissue, FFPE blocks, unfixed samples</t>
        </is>
      </c>
      <c r="C17" s="47" t="inlineStr">
        <is>
          <t>tissue, biopsy, FFPE, mouse tissue</t>
        </is>
      </c>
      <c r="D17" s="47" t="inlineStr">
        <is>
          <t>BIO-INC</t>
        </is>
      </c>
      <c r="E17" s="45">
        <f>INDEX(Categories!$B$2:$B$36,MATCH(D17,Categories!$A$2:$A$36,0))</f>
        <v/>
      </c>
      <c r="F17" s="45">
        <f>INDEX(Categories!$D$2:$D$36,MATCH(D17,Categories!$A$2:$A$36,0))</f>
        <v/>
      </c>
      <c r="G17" s="47" t="inlineStr">
        <is>
          <t>Seal, label, hold for clinical waste collection.</t>
        </is>
      </c>
      <c r="H17" s="47" t="inlineStr">
        <is>
          <t>BIOHAZARD</t>
        </is>
      </c>
      <c r="I17" s="47" t="n"/>
      <c r="J17" s="47" t="inlineStr">
        <is>
          <t>Tissue goes to incineration.</t>
        </is>
      </c>
      <c r="K17" s="47" t="inlineStr">
        <is>
          <t>Verify locally</t>
        </is>
      </c>
    </row>
    <row r="18" ht="15" customHeight="1" s="42">
      <c r="A18" s="44" t="inlineStr">
        <is>
          <t>I017</t>
        </is>
      </c>
      <c r="B18" s="47" t="inlineStr">
        <is>
          <t>Needles and syringes (biological)</t>
        </is>
      </c>
      <c r="C18" s="47" t="inlineStr">
        <is>
          <t>needle, syringe</t>
        </is>
      </c>
      <c r="D18" s="47" t="inlineStr">
        <is>
          <t>SHP-INF</t>
        </is>
      </c>
      <c r="E18" s="45">
        <f>INDEX(Categories!$B$2:$B$36,MATCH(D18,Categories!$A$2:$A$36,0))</f>
        <v/>
      </c>
      <c r="F18" s="45">
        <f>INDEX(Categories!$D$2:$D$36,MATCH(D18,Categories!$A$2:$A$36,0))</f>
        <v/>
      </c>
      <c r="G18" s="47" t="inlineStr">
        <is>
          <t>Do not recap or bend; fill to the line only.</t>
        </is>
      </c>
      <c r="H18" s="47" t="inlineStr">
        <is>
          <t>SHARP;BIOHAZARD</t>
        </is>
      </c>
      <c r="I18" s="47" t="n"/>
      <c r="J18" s="47" t="inlineStr">
        <is>
          <t>Sharps bin required.</t>
        </is>
      </c>
      <c r="K18" s="47" t="inlineStr">
        <is>
          <t>High</t>
        </is>
      </c>
    </row>
    <row r="19" ht="23.85" customHeight="1" s="42">
      <c r="A19" s="44" t="inlineStr">
        <is>
          <t>I018</t>
        </is>
      </c>
      <c r="B19" s="47" t="inlineStr">
        <is>
          <t>Scalpel / razor blades</t>
        </is>
      </c>
      <c r="C19" s="47" t="inlineStr">
        <is>
          <t>scalpel, razor, blade</t>
        </is>
      </c>
      <c r="D19" s="47" t="inlineStr">
        <is>
          <t>SHP-INF</t>
        </is>
      </c>
      <c r="E19" s="45">
        <f>INDEX(Categories!$B$2:$B$36,MATCH(D19,Categories!$A$2:$A$36,0))</f>
        <v/>
      </c>
      <c r="F19" s="45">
        <f>INDEX(Categories!$D$2:$D$36,MATCH(D19,Categories!$A$2:$A$36,0))</f>
        <v/>
      </c>
      <c r="G19" s="47" t="inlineStr">
        <is>
          <t>Fill to the line only.</t>
        </is>
      </c>
      <c r="H19" s="47" t="inlineStr">
        <is>
          <t>SHARP</t>
        </is>
      </c>
      <c r="I19" s="47" t="inlineStr">
        <is>
          <t>Not if contaminated with CMR agents (see sharps - chemical).</t>
        </is>
      </c>
      <c r="J19" s="47" t="inlineStr">
        <is>
          <t>Sharps bin required.</t>
        </is>
      </c>
      <c r="K19" s="47" t="inlineStr">
        <is>
          <t>High</t>
        </is>
      </c>
    </row>
    <row r="20" ht="15" customHeight="1" s="42">
      <c r="A20" s="44" t="inlineStr">
        <is>
          <t>I019</t>
        </is>
      </c>
      <c r="B20" s="47" t="inlineStr">
        <is>
          <t>Broken glass or slides contaminated with biological material</t>
        </is>
      </c>
      <c r="C20" s="47" t="inlineStr">
        <is>
          <t>contaminated coverslip, contaminated slide</t>
        </is>
      </c>
      <c r="D20" s="47" t="inlineStr">
        <is>
          <t>SHP-INF</t>
        </is>
      </c>
      <c r="E20" s="45">
        <f>INDEX(Categories!$B$2:$B$36,MATCH(D20,Categories!$A$2:$A$36,0))</f>
        <v/>
      </c>
      <c r="F20" s="45">
        <f>INDEX(Categories!$D$2:$D$36,MATCH(D20,Categories!$A$2:$A$36,0))</f>
        <v/>
      </c>
      <c r="G20" s="47" t="inlineStr">
        <is>
          <t>Sharps bin, not a glass box.</t>
        </is>
      </c>
      <c r="H20" s="47" t="inlineStr">
        <is>
          <t>SHARP;BIOHAZARD</t>
        </is>
      </c>
      <c r="I20" s="47" t="n"/>
      <c r="J20" s="47" t="inlineStr">
        <is>
          <t>Contaminated sharp.</t>
        </is>
      </c>
      <c r="K20" s="47" t="inlineStr">
        <is>
          <t>Medium</t>
        </is>
      </c>
    </row>
    <row r="21" ht="23.85" customHeight="1" s="42">
      <c r="A21" s="44" t="inlineStr">
        <is>
          <t>I020</t>
        </is>
      </c>
      <c r="B21" s="47" t="inlineStr">
        <is>
          <t>Sharps contaminated with chemicals (e.g. EtBr gel-cutting blades, stain-contaminated glass)</t>
        </is>
      </c>
      <c r="C21" s="47" t="inlineStr">
        <is>
          <t>gel cutter, contaminated blade</t>
        </is>
      </c>
      <c r="D21" s="47" t="inlineStr">
        <is>
          <t>SHP-CHEM</t>
        </is>
      </c>
      <c r="E21" s="45">
        <f>INDEX(Categories!$B$2:$B$36,MATCH(D21,Categories!$A$2:$A$36,0))</f>
        <v/>
      </c>
      <c r="F21" s="45">
        <f>INDEX(Categories!$D$2:$D$36,MATCH(D21,Categories!$A$2:$A$36,0))</f>
        <v/>
      </c>
      <c r="G21" s="47" t="inlineStr">
        <is>
          <t>Write the contaminant on the label.</t>
        </is>
      </c>
      <c r="H21" s="47" t="inlineStr">
        <is>
          <t>SHARP;TOXIC</t>
        </is>
      </c>
      <c r="I21" s="47" t="n"/>
      <c r="J21" s="47" t="inlineStr">
        <is>
          <t>Chemical contamination needs the chemical sharps stream.</t>
        </is>
      </c>
      <c r="K21" s="47" t="inlineStr">
        <is>
          <t>Medium</t>
        </is>
      </c>
    </row>
    <row r="22" ht="23.85" customHeight="1" s="42">
      <c r="A22" s="44" t="inlineStr">
        <is>
          <t>I021</t>
        </is>
      </c>
      <c r="B22" s="47" t="inlineStr">
        <is>
          <t>Polyacrylamide gels (after SDS-PAGE)</t>
        </is>
      </c>
      <c r="C22" s="47" t="inlineStr">
        <is>
          <t>SDS-PAGE gel, protein gel, Bis-Tris gel, precast gel</t>
        </is>
      </c>
      <c r="D22" s="47" t="inlineStr">
        <is>
          <t>BIO-AUT</t>
        </is>
      </c>
      <c r="E22" s="45">
        <f>INDEX(Categories!$B$2:$B$36,MATCH(D22,Categories!$A$2:$A$36,0))</f>
        <v/>
      </c>
      <c r="F22" s="45">
        <f>INDEX(Categories!$D$2:$D$36,MATCH(D22,Categories!$A$2:$A$36,0))</f>
        <v/>
      </c>
      <c r="G22" s="47" t="inlineStr">
        <is>
          <t>Collect in a sealed bag.</t>
        </is>
      </c>
      <c r="H22" s="47" t="inlineStr">
        <is>
          <t>TOXIC</t>
        </is>
      </c>
      <c r="I22" s="47" t="inlineStr">
        <is>
          <t>Do not autoclave.</t>
        </is>
      </c>
      <c r="J22" s="47" t="inlineStr">
        <is>
          <t>Local lab policy: protein gels and blot membranes go to the autoclave route.</t>
        </is>
      </c>
      <c r="K22" s="47" t="inlineStr">
        <is>
          <t>Medium</t>
        </is>
      </c>
    </row>
    <row r="23" ht="23.85" customHeight="1" s="42">
      <c r="A23" s="44" t="inlineStr">
        <is>
          <t>I022</t>
        </is>
      </c>
      <c r="B23" s="47" t="inlineStr">
        <is>
          <t>Unpolymerised acrylamide / bis-acrylamide solution or powder</t>
        </is>
      </c>
      <c r="C23" s="47" t="inlineStr">
        <is>
          <t>acrylamide, bis-acrylamide, gel casting solution</t>
        </is>
      </c>
      <c r="D23" s="47" t="inlineStr">
        <is>
          <t>CMR-LIQ</t>
        </is>
      </c>
      <c r="E23" s="45">
        <f>INDEX(Categories!$B$2:$B$36,MATCH(D23,Categories!$A$2:$A$36,0))</f>
        <v/>
      </c>
      <c r="F23" s="45">
        <f>INDEX(Categories!$D$2:$D$36,MATCH(D23,Categories!$A$2:$A$36,0))</f>
        <v/>
      </c>
      <c r="G23" s="47" t="inlineStr">
        <is>
          <t>Powder handled in a fume cupboard; double glove.</t>
        </is>
      </c>
      <c r="H23" s="47" t="inlineStr">
        <is>
          <t>CARCINOGEN;MUTAGEN;TOXIC;NO_DRAIN</t>
        </is>
      </c>
      <c r="I23" s="47" t="inlineStr">
        <is>
          <t>Never drain.</t>
        </is>
      </c>
      <c r="J23" s="47" t="inlineStr">
        <is>
          <t>Carcinogen and mutagen.</t>
        </is>
      </c>
      <c r="K23" s="47" t="inlineStr">
        <is>
          <t>High</t>
        </is>
      </c>
    </row>
    <row r="24" ht="23.85" customHeight="1" s="42">
      <c r="A24" s="44" t="inlineStr">
        <is>
          <t>I023</t>
        </is>
      </c>
      <c r="B24" s="47" t="inlineStr">
        <is>
          <t>SDS-PAGE running buffer (Tris-glycine-SDS)</t>
        </is>
      </c>
      <c r="C24" s="47" t="inlineStr">
        <is>
          <t>running buffer, Tris glycine</t>
        </is>
      </c>
      <c r="D24" s="47" t="inlineStr">
        <is>
          <t>DRAIN</t>
        </is>
      </c>
      <c r="E24" s="45">
        <f>INDEX(Categories!$B$2:$B$36,MATCH(D24,Categories!$A$2:$A$36,0))</f>
        <v/>
      </c>
      <c r="F24" s="45">
        <f>INDEX(Categories!$D$2:$D$36,MATCH(D24,Categories!$A$2:$A$36,0))</f>
        <v/>
      </c>
      <c r="G24" s="47" t="inlineStr">
        <is>
          <t>Flush with plenty of water.</t>
        </is>
      </c>
      <c r="H24" s="47" t="n"/>
      <c r="I24" s="47" t="inlineStr">
        <is>
          <t>Not if it contains azide or other additives.</t>
        </is>
      </c>
      <c r="J24" s="47" t="inlineStr">
        <is>
          <t>Low hazard at working concentration.</t>
        </is>
      </c>
      <c r="K24" s="47" t="inlineStr">
        <is>
          <t>Medium</t>
        </is>
      </c>
    </row>
    <row r="25" ht="23.85" customHeight="1" s="42">
      <c r="A25" s="44" t="inlineStr">
        <is>
          <t>I024</t>
        </is>
      </c>
      <c r="B25" s="47" t="inlineStr">
        <is>
          <t>Western transfer buffer (contains methanol)</t>
        </is>
      </c>
      <c r="C25" s="47" t="inlineStr">
        <is>
          <t>transfer buffer, towbin</t>
        </is>
      </c>
      <c r="D25" s="47" t="inlineStr">
        <is>
          <t>CHEM-NH</t>
        </is>
      </c>
      <c r="E25" s="45">
        <f>INDEX(Categories!$B$2:$B$36,MATCH(D25,Categories!$A$2:$A$36,0))</f>
        <v/>
      </c>
      <c r="F25" s="45">
        <f>INDEX(Categories!$D$2:$D$36,MATCH(D25,Categories!$A$2:$A$36,0))</f>
        <v/>
      </c>
      <c r="G25" s="47" t="n"/>
      <c r="H25" s="47" t="inlineStr">
        <is>
          <t>FLAMMABLE;ORGANIC;NONHAL;NO_DRAIN;NO_AUTOCLAVE</t>
        </is>
      </c>
      <c r="I25" s="47" t="inlineStr">
        <is>
          <t>No bleach.</t>
        </is>
      </c>
      <c r="J25" s="47" t="inlineStr">
        <is>
          <t>Methanol content; some sites allow small volumes via drain.</t>
        </is>
      </c>
      <c r="K25" s="47" t="inlineStr">
        <is>
          <t>Verify locally</t>
        </is>
      </c>
    </row>
    <row r="26" ht="23.85" customHeight="1" s="42">
      <c r="A26" s="44" t="inlineStr">
        <is>
          <t>I025</t>
        </is>
      </c>
      <c r="B26" s="47" t="inlineStr">
        <is>
          <t>TBS-T / PBS-T wash buffers (no azide)</t>
        </is>
      </c>
      <c r="C26" s="47" t="inlineStr">
        <is>
          <t>TBST, PBST, wash buffer</t>
        </is>
      </c>
      <c r="D26" s="47" t="inlineStr">
        <is>
          <t>DRAIN</t>
        </is>
      </c>
      <c r="E26" s="45">
        <f>INDEX(Categories!$B$2:$B$36,MATCH(D26,Categories!$A$2:$A$36,0))</f>
        <v/>
      </c>
      <c r="F26" s="45">
        <f>INDEX(Categories!$D$2:$D$36,MATCH(D26,Categories!$A$2:$A$36,0))</f>
        <v/>
      </c>
      <c r="G26" s="47" t="inlineStr">
        <is>
          <t>Flush with plenty of water.</t>
        </is>
      </c>
      <c r="H26" s="47" t="n"/>
      <c r="I26" s="47" t="inlineStr">
        <is>
          <t>Not if it contains azide.</t>
        </is>
      </c>
      <c r="J26" s="47" t="inlineStr">
        <is>
          <t>Low hazard.</t>
        </is>
      </c>
      <c r="K26" s="47" t="inlineStr">
        <is>
          <t>Medium</t>
        </is>
      </c>
    </row>
    <row r="27" ht="23.85" customHeight="1" s="42">
      <c r="A27" s="44" t="inlineStr">
        <is>
          <t>I026</t>
        </is>
      </c>
      <c r="B27" s="47" t="inlineStr">
        <is>
          <t>Buffers containing sodium azide (antibody diluent, storage buffers)</t>
        </is>
      </c>
      <c r="C27" s="47" t="inlineStr">
        <is>
          <t>sodium azide, NaN3, antibody storage</t>
        </is>
      </c>
      <c r="D27" s="47" t="inlineStr">
        <is>
          <t>CHEM-AQ</t>
        </is>
      </c>
      <c r="E27" s="45">
        <f>INDEX(Categories!$B$2:$B$36,MATCH(D27,Categories!$A$2:$A$36,0))</f>
        <v/>
      </c>
      <c r="F27" s="45">
        <f>INDEX(Categories!$D$2:$D$36,MATCH(D27,Categories!$A$2:$A$36,0))</f>
        <v/>
      </c>
      <c r="G27" s="47" t="inlineStr">
        <is>
          <t>Label with azide.</t>
        </is>
      </c>
      <c r="H27" s="47" t="inlineStr">
        <is>
          <t>AZIDE;TOXIC;NO_DRAIN</t>
        </is>
      </c>
      <c r="I27" s="47" t="inlineStr">
        <is>
          <t>No acids (hydrazoic acid gas). Never drain: azide forms explosive metal azides in plumbing.</t>
        </is>
      </c>
      <c r="J27" s="47" t="inlineStr">
        <is>
          <t>Acutely toxic and reactive.</t>
        </is>
      </c>
      <c r="K27" s="47" t="inlineStr">
        <is>
          <t>High</t>
        </is>
      </c>
    </row>
    <row r="28" ht="23.85" customHeight="1" s="42">
      <c r="A28" s="44" t="inlineStr">
        <is>
          <t>I027</t>
        </is>
      </c>
      <c r="B28" s="47" t="inlineStr">
        <is>
          <t>Western blot membranes (PVDF / nitrocellulose) after imaging</t>
        </is>
      </c>
      <c r="C28" s="47" t="inlineStr">
        <is>
          <t>PVDF, nitrocellulose, blot</t>
        </is>
      </c>
      <c r="D28" s="47" t="inlineStr">
        <is>
          <t>BIO-AUT</t>
        </is>
      </c>
      <c r="E28" s="45">
        <f>INDEX(Categories!$B$2:$B$36,MATCH(D28,Categories!$A$2:$A$36,0))</f>
        <v/>
      </c>
      <c r="F28" s="45">
        <f>INDEX(Categories!$D$2:$D$36,MATCH(D28,Categories!$A$2:$A$36,0))</f>
        <v/>
      </c>
      <c r="G28" s="47" t="inlineStr">
        <is>
          <t>Collect with chemical solids.</t>
        </is>
      </c>
      <c r="H28" s="47" t="n"/>
      <c r="I28" s="47" t="inlineStr">
        <is>
          <t>Do not autoclave.</t>
        </is>
      </c>
      <c r="J28" s="47" t="inlineStr">
        <is>
          <t>Local lab policy: protein gels and blot membranes go to the autoclave route.</t>
        </is>
      </c>
      <c r="K28" s="47" t="inlineStr">
        <is>
          <t>Medium</t>
        </is>
      </c>
    </row>
    <row r="29" ht="15" customHeight="1" s="42">
      <c r="A29" s="44" t="inlineStr">
        <is>
          <t>I028</t>
        </is>
      </c>
      <c r="B29" s="47" t="inlineStr">
        <is>
          <t>ECL / chemiluminescent substrate (used)</t>
        </is>
      </c>
      <c r="C29" s="47" t="inlineStr">
        <is>
          <t>ECL, luminol, Clarity</t>
        </is>
      </c>
      <c r="D29" s="47" t="inlineStr">
        <is>
          <t>CHEM-AQ</t>
        </is>
      </c>
      <c r="E29" s="45">
        <f>INDEX(Categories!$B$2:$B$36,MATCH(D29,Categories!$A$2:$A$36,0))</f>
        <v/>
      </c>
      <c r="F29" s="45">
        <f>INDEX(Categories!$D$2:$D$36,MATCH(D29,Categories!$A$2:$A$36,0))</f>
        <v/>
      </c>
      <c r="G29" s="47" t="n"/>
      <c r="H29" s="47" t="inlineStr">
        <is>
          <t>IRRITANT;NO_DRAIN</t>
        </is>
      </c>
      <c r="I29" s="47" t="n"/>
      <c r="J29" s="47" t="inlineStr">
        <is>
          <t>Conservative collection of reactive reagent.</t>
        </is>
      </c>
      <c r="K29" s="47" t="inlineStr">
        <is>
          <t>Medium</t>
        </is>
      </c>
    </row>
    <row r="30" ht="23.85" customHeight="1" s="42">
      <c r="A30" s="44" t="inlineStr">
        <is>
          <t>I029</t>
        </is>
      </c>
      <c r="B30" s="47" t="inlineStr">
        <is>
          <t>Coomassie stain / destain (methanol-acetic acid)</t>
        </is>
      </c>
      <c r="C30" s="47" t="inlineStr">
        <is>
          <t>Coomassie, destain, Brilliant Blue</t>
        </is>
      </c>
      <c r="D30" s="47" t="inlineStr">
        <is>
          <t>CHEM-NH</t>
        </is>
      </c>
      <c r="E30" s="45">
        <f>INDEX(Categories!$B$2:$B$36,MATCH(D30,Categories!$A$2:$A$36,0))</f>
        <v/>
      </c>
      <c r="F30" s="45">
        <f>INDEX(Categories!$D$2:$D$36,MATCH(D30,Categories!$A$2:$A$36,0))</f>
        <v/>
      </c>
      <c r="G30" s="47" t="n"/>
      <c r="H30" s="47" t="inlineStr">
        <is>
          <t>FLAMMABLE;ORGANIC;NONHAL;ACID;NO_DRAIN;NO_AUTOCLAVE</t>
        </is>
      </c>
      <c r="I30" s="47" t="inlineStr">
        <is>
          <t>No bleach.</t>
        </is>
      </c>
      <c r="J30" s="47" t="inlineStr">
        <is>
          <t>Flammable with acid content; some sites split acidic fractions.</t>
        </is>
      </c>
      <c r="K30" s="47" t="inlineStr">
        <is>
          <t>Medium</t>
        </is>
      </c>
    </row>
    <row r="31" ht="15" customHeight="1" s="42">
      <c r="A31" s="44" t="inlineStr">
        <is>
          <t>I030</t>
        </is>
      </c>
      <c r="B31" s="47" t="inlineStr">
        <is>
          <t>RIPA / detergent lysis buffer with lysate (no guanidinium)</t>
        </is>
      </c>
      <c r="C31" s="47" t="inlineStr">
        <is>
          <t>RIPA, lysate, NP-40, lysis buffer</t>
        </is>
      </c>
      <c r="D31" s="47" t="inlineStr">
        <is>
          <t>CHEM-AQ</t>
        </is>
      </c>
      <c r="E31" s="45">
        <f>INDEX(Categories!$B$2:$B$36,MATCH(D31,Categories!$A$2:$A$36,0))</f>
        <v/>
      </c>
      <c r="F31" s="45">
        <f>INDEX(Categories!$D$2:$D$36,MATCH(D31,Categories!$A$2:$A$36,0))</f>
        <v/>
      </c>
      <c r="G31" s="47" t="inlineStr">
        <is>
          <t>Collect and label.</t>
        </is>
      </c>
      <c r="H31" s="47" t="inlineStr">
        <is>
          <t>IRRITANT;NO_DRAIN</t>
        </is>
      </c>
      <c r="I31" s="47" t="inlineStr">
        <is>
          <t>Not for guanidinium buffers (see lysis waste).</t>
        </is>
      </c>
      <c r="J31" s="47" t="inlineStr">
        <is>
          <t>Detergent plus biological origin; conservative.</t>
        </is>
      </c>
      <c r="K31" s="47" t="inlineStr">
        <is>
          <t>Medium</t>
        </is>
      </c>
    </row>
    <row r="32" ht="23.85" customHeight="1" s="42">
      <c r="A32" s="44" t="inlineStr">
        <is>
          <t>I031</t>
        </is>
      </c>
      <c r="B32" s="47" t="inlineStr">
        <is>
          <t>Agarose gels stained with ethidium bromide</t>
        </is>
      </c>
      <c r="C32" s="47" t="inlineStr">
        <is>
          <t>EtBr gel, ethidium bromide gel, DNA gel</t>
        </is>
      </c>
      <c r="D32" s="47" t="inlineStr">
        <is>
          <t>CMR-SOL</t>
        </is>
      </c>
      <c r="E32" s="45">
        <f>INDEX(Categories!$B$2:$B$36,MATCH(D32,Categories!$A$2:$A$36,0))</f>
        <v/>
      </c>
      <c r="F32" s="45">
        <f>INDEX(Categories!$D$2:$D$36,MATCH(D32,Categories!$A$2:$A$36,0))</f>
        <v/>
      </c>
      <c r="G32" s="47" t="inlineStr">
        <is>
          <t>Sealed bag.</t>
        </is>
      </c>
      <c r="H32" s="47" t="inlineStr">
        <is>
          <t>MUTAGEN;TOXIC;NO_DRAIN;NO_AUTOCLAVE</t>
        </is>
      </c>
      <c r="I32" s="47" t="inlineStr">
        <is>
          <t>Never general waste.</t>
        </is>
      </c>
      <c r="J32" s="47" t="inlineStr">
        <is>
          <t>Mutagen.</t>
        </is>
      </c>
      <c r="K32" s="47" t="inlineStr">
        <is>
          <t>High</t>
        </is>
      </c>
    </row>
    <row r="33" ht="23.85" customHeight="1" s="42">
      <c r="A33" s="44" t="inlineStr">
        <is>
          <t>I032</t>
        </is>
      </c>
      <c r="B33" s="47" t="inlineStr">
        <is>
          <t>TAE / TBE buffer containing ethidium bromide</t>
        </is>
      </c>
      <c r="C33" s="47" t="inlineStr">
        <is>
          <t>EtBr buffer</t>
        </is>
      </c>
      <c r="D33" s="47" t="inlineStr">
        <is>
          <t>CMR-LIQ</t>
        </is>
      </c>
      <c r="E33" s="45">
        <f>INDEX(Categories!$B$2:$B$36,MATCH(D33,Categories!$A$2:$A$36,0))</f>
        <v/>
      </c>
      <c r="F33" s="45">
        <f>INDEX(Categories!$D$2:$D$36,MATCH(D33,Categories!$A$2:$A$36,0))</f>
        <v/>
      </c>
      <c r="G33" s="47" t="inlineStr">
        <is>
          <t>Some sites filter through charcoal first.</t>
        </is>
      </c>
      <c r="H33" s="47" t="inlineStr">
        <is>
          <t>MUTAGEN;NO_DRAIN</t>
        </is>
      </c>
      <c r="I33" s="47" t="inlineStr">
        <is>
          <t>Never drain.</t>
        </is>
      </c>
      <c r="J33" s="47" t="inlineStr">
        <is>
          <t>Mutagen.</t>
        </is>
      </c>
      <c r="K33" s="47" t="inlineStr">
        <is>
          <t>High</t>
        </is>
      </c>
    </row>
    <row r="34" ht="23.85" customHeight="1" s="42">
      <c r="A34" s="44" t="inlineStr">
        <is>
          <t>I033</t>
        </is>
      </c>
      <c r="B34" s="47" t="inlineStr">
        <is>
          <t>Gloves, tips and paper contaminated with EtBr, DAB or other CMR agents</t>
        </is>
      </c>
      <c r="C34" s="47" t="inlineStr">
        <is>
          <t>CMR gloves, EtBr gloves</t>
        </is>
      </c>
      <c r="D34" s="47" t="inlineStr">
        <is>
          <t>CMR-SOL</t>
        </is>
      </c>
      <c r="E34" s="45">
        <f>INDEX(Categories!$B$2:$B$36,MATCH(D34,Categories!$A$2:$A$36,0))</f>
        <v/>
      </c>
      <c r="F34" s="45">
        <f>INDEX(Categories!$D$2:$D$36,MATCH(D34,Categories!$A$2:$A$36,0))</f>
        <v/>
      </c>
      <c r="G34" s="47" t="inlineStr">
        <is>
          <t>Sealed bag.</t>
        </is>
      </c>
      <c r="H34" s="47" t="inlineStr">
        <is>
          <t>MUTAGEN;NO_AUTOCLAVE</t>
        </is>
      </c>
      <c r="I34" s="47" t="n"/>
      <c r="J34" s="47" t="inlineStr">
        <is>
          <t>CMR contamination.</t>
        </is>
      </c>
      <c r="K34" s="47" t="inlineStr">
        <is>
          <t>High</t>
        </is>
      </c>
    </row>
    <row r="35" ht="23.85" customHeight="1" s="42">
      <c r="A35" s="44" t="inlineStr">
        <is>
          <t>I034</t>
        </is>
      </c>
      <c r="B35" s="47" t="inlineStr">
        <is>
          <t>Agarose gels with SYBR Safe / GelRed / similar stains</t>
        </is>
      </c>
      <c r="C35" s="47" t="inlineStr">
        <is>
          <t>SYBR Safe, GelRed, safe stain</t>
        </is>
      </c>
      <c r="D35" s="47" t="inlineStr">
        <is>
          <t>CHEM-SOL</t>
        </is>
      </c>
      <c r="E35" s="45">
        <f>INDEX(Categories!$B$2:$B$36,MATCH(D35,Categories!$A$2:$A$36,0))</f>
        <v/>
      </c>
      <c r="F35" s="45">
        <f>INDEX(Categories!$D$2:$D$36,MATCH(D35,Categories!$A$2:$A$36,0))</f>
        <v/>
      </c>
      <c r="G35" s="47" t="n"/>
      <c r="H35" s="47" t="n"/>
      <c r="I35" s="47" t="n"/>
      <c r="J35" s="47" t="inlineStr">
        <is>
          <t>Marketed as safer but disposal advice varies by site.</t>
        </is>
      </c>
      <c r="K35" s="47" t="inlineStr">
        <is>
          <t>Verify locally</t>
        </is>
      </c>
    </row>
    <row r="36" ht="23.85" customHeight="1" s="42">
      <c r="A36" s="44" t="inlineStr">
        <is>
          <t>I035</t>
        </is>
      </c>
      <c r="B36" s="47" t="inlineStr">
        <is>
          <t>TAE / TBE buffer (no stain)</t>
        </is>
      </c>
      <c r="C36" s="47" t="inlineStr">
        <is>
          <t>TAE, TBE</t>
        </is>
      </c>
      <c r="D36" s="47" t="inlineStr">
        <is>
          <t>DRAIN</t>
        </is>
      </c>
      <c r="E36" s="45">
        <f>INDEX(Categories!$B$2:$B$36,MATCH(D36,Categories!$A$2:$A$36,0))</f>
        <v/>
      </c>
      <c r="F36" s="45">
        <f>INDEX(Categories!$D$2:$D$36,MATCH(D36,Categories!$A$2:$A$36,0))</f>
        <v/>
      </c>
      <c r="G36" s="47" t="inlineStr">
        <is>
          <t>Flush with plenty of water.</t>
        </is>
      </c>
      <c r="H36" s="47" t="n"/>
      <c r="I36" s="47" t="inlineStr">
        <is>
          <t>Not if stained with EtBr.</t>
        </is>
      </c>
      <c r="J36" s="47" t="inlineStr">
        <is>
          <t>Low hazard at working concentration.</t>
        </is>
      </c>
      <c r="K36" s="47" t="inlineStr">
        <is>
          <t>Medium</t>
        </is>
      </c>
    </row>
    <row r="37" ht="23.85" customHeight="1" s="42">
      <c r="A37" s="44" t="inlineStr">
        <is>
          <t>I036</t>
        </is>
      </c>
      <c r="B37" s="47" t="inlineStr">
        <is>
          <t>PCR / qPCR tubes, plates and tips with DNA template</t>
        </is>
      </c>
      <c r="C37" s="47" t="inlineStr">
        <is>
          <t>PCR, qPCR, thermocycler plate, 8-strip</t>
        </is>
      </c>
      <c r="D37" s="47" t="inlineStr">
        <is>
          <t>BIO-AUT</t>
        </is>
      </c>
      <c r="E37" s="45">
        <f>INDEX(Categories!$B$2:$B$36,MATCH(D37,Categories!$A$2:$A$36,0))</f>
        <v/>
      </c>
      <c r="F37" s="45">
        <f>INDEX(Categories!$D$2:$D$36,MATCH(D37,Categories!$A$2:$A$36,0))</f>
        <v/>
      </c>
      <c r="G37" s="47" t="inlineStr">
        <is>
          <t>Autoclave route (some sites allow general waste if non-GM and no human material).</t>
        </is>
      </c>
      <c r="H37" s="47" t="inlineStr">
        <is>
          <t>BIOHAZARD</t>
        </is>
      </c>
      <c r="I37" s="47" t="inlineStr">
        <is>
          <t>Treat as GM waste if template is recombinant.</t>
        </is>
      </c>
      <c r="J37" s="47" t="inlineStr">
        <is>
          <t>Template DNA contact.</t>
        </is>
      </c>
      <c r="K37" s="47" t="inlineStr">
        <is>
          <t>Verify locally</t>
        </is>
      </c>
    </row>
    <row r="38" ht="35.05" customHeight="1" s="42">
      <c r="A38" s="44" t="inlineStr">
        <is>
          <t>I037</t>
        </is>
      </c>
      <c r="B38" s="47" t="inlineStr">
        <is>
          <t>TRIzol / TRI Reagent organic phase (phenol-chloroform)</t>
        </is>
      </c>
      <c r="C38" s="47" t="inlineStr">
        <is>
          <t>TRIzol, TRI Reagent, phenol chloroform, Qiazol</t>
        </is>
      </c>
      <c r="D38" s="47" t="inlineStr">
        <is>
          <t>CHEM-HAL</t>
        </is>
      </c>
      <c r="E38" s="45">
        <f>INDEX(Categories!$B$2:$B$36,MATCH(D38,Categories!$A$2:$A$36,0))</f>
        <v/>
      </c>
      <c r="F38" s="45">
        <f>INDEX(Categories!$D$2:$D$36,MATCH(D38,Categories!$A$2:$A$36,0))</f>
        <v/>
      </c>
      <c r="G38" s="47" t="inlineStr">
        <is>
          <t>Glass or solvent-resistant container; fume cupboard.</t>
        </is>
      </c>
      <c r="H38" s="47" t="inlineStr">
        <is>
          <t>PHENOL;HALOGENATED;ORGANIC;TOXIC;CORROSIVE;GUANIDINE;NO_DRAIN;NO_AUTOCLAVE</t>
        </is>
      </c>
      <c r="I38" s="47" t="inlineStr">
        <is>
          <t>No bleach. No acids.</t>
        </is>
      </c>
      <c r="J38" s="47" t="inlineStr">
        <is>
          <t>Phenol, chloroform and guanidinium thiocyanate.</t>
        </is>
      </c>
      <c r="K38" s="47" t="inlineStr">
        <is>
          <t>High</t>
        </is>
      </c>
    </row>
    <row r="39" ht="23.85" customHeight="1" s="42">
      <c r="A39" s="44" t="inlineStr">
        <is>
          <t>I038</t>
        </is>
      </c>
      <c r="B39" s="47" t="inlineStr">
        <is>
          <t>TRIzol / TRI Reagent aqueous phase and lysate waste</t>
        </is>
      </c>
      <c r="C39" s="47" t="inlineStr">
        <is>
          <t>TRIzol lysate, RNA aqueous phase</t>
        </is>
      </c>
      <c r="D39" s="47" t="inlineStr">
        <is>
          <t>CHEM-GUA</t>
        </is>
      </c>
      <c r="E39" s="45">
        <f>INDEX(Categories!$B$2:$B$36,MATCH(D39,Categories!$A$2:$A$36,0))</f>
        <v/>
      </c>
      <c r="F39" s="45">
        <f>INDEX(Categories!$D$2:$D$36,MATCH(D39,Categories!$A$2:$A$36,0))</f>
        <v/>
      </c>
      <c r="G39" s="47" t="inlineStr">
        <is>
          <t>Fume cupboard.</t>
        </is>
      </c>
      <c r="H39" s="47" t="inlineStr">
        <is>
          <t>PHENOL;GUANIDINE;TOXIC;NO_DRAIN;NO_AUTOCLAVE</t>
        </is>
      </c>
      <c r="I39" s="47" t="inlineStr">
        <is>
          <t>No bleach (toxic gas). No acids.</t>
        </is>
      </c>
      <c r="J39" s="47" t="inlineStr">
        <is>
          <t>Contains guanidinium and residual phenol.</t>
        </is>
      </c>
      <c r="K39" s="47" t="inlineStr">
        <is>
          <t>High</t>
        </is>
      </c>
    </row>
    <row r="40" ht="23.85" customHeight="1" s="42">
      <c r="A40" s="44" t="inlineStr">
        <is>
          <t>I039</t>
        </is>
      </c>
      <c r="B40" s="47" t="inlineStr">
        <is>
          <t>Column-kit flow-through and buffers with guanidinium (lysis / binding)</t>
        </is>
      </c>
      <c r="C40" s="47" t="inlineStr">
        <is>
          <t>RLT, buffer RLT, RW1, binding buffer, Qiagen flow-through, miniprep</t>
        </is>
      </c>
      <c r="D40" s="47" t="inlineStr">
        <is>
          <t>CHEM-GUA</t>
        </is>
      </c>
      <c r="E40" s="45">
        <f>INDEX(Categories!$B$2:$B$36,MATCH(D40,Categories!$A$2:$A$36,0))</f>
        <v/>
      </c>
      <c r="F40" s="45">
        <f>INDEX(Categories!$D$2:$D$36,MATCH(D40,Categories!$A$2:$A$36,0))</f>
        <v/>
      </c>
      <c r="G40" s="47" t="inlineStr">
        <is>
          <t>Check the kit safety sheet for guanidinium buffers.</t>
        </is>
      </c>
      <c r="H40" s="47" t="inlineStr">
        <is>
          <t>GUANIDINE;TOXIC;NO_DRAIN;NO_AUTOCLAVE</t>
        </is>
      </c>
      <c r="I40" s="47" t="inlineStr">
        <is>
          <t>No bleach (toxic gas). No acids.</t>
        </is>
      </c>
      <c r="J40" s="47" t="inlineStr">
        <is>
          <t>Guanidinium salts react with bleach.</t>
        </is>
      </c>
      <c r="K40" s="47" t="inlineStr">
        <is>
          <t>High</t>
        </is>
      </c>
    </row>
    <row r="41" ht="23.85" customHeight="1" s="42">
      <c r="A41" s="44" t="inlineStr">
        <is>
          <t>I040</t>
        </is>
      </c>
      <c r="B41" s="47" t="inlineStr">
        <is>
          <t>Spin columns, collection tubes and tips from extraction kits</t>
        </is>
      </c>
      <c r="C41" s="47" t="inlineStr">
        <is>
          <t>spin column, collection tube</t>
        </is>
      </c>
      <c r="D41" s="47" t="inlineStr">
        <is>
          <t>CHEM-SOL</t>
        </is>
      </c>
      <c r="E41" s="45">
        <f>INDEX(Categories!$B$2:$B$36,MATCH(D41,Categories!$A$2:$A$36,0))</f>
        <v/>
      </c>
      <c r="F41" s="45">
        <f>INDEX(Categories!$D$2:$D$36,MATCH(D41,Categories!$A$2:$A$36,0))</f>
        <v/>
      </c>
      <c r="G41" s="47" t="n"/>
      <c r="H41" s="47" t="n"/>
      <c r="I41" s="47" t="inlineStr">
        <is>
          <t>Do not autoclave.</t>
        </is>
      </c>
      <c r="J41" s="47" t="inlineStr">
        <is>
          <t>Guanidinium residue.</t>
        </is>
      </c>
      <c r="K41" s="47" t="inlineStr">
        <is>
          <t>Medium</t>
        </is>
      </c>
    </row>
    <row r="42" ht="23.85" customHeight="1" s="42">
      <c r="A42" s="44" t="inlineStr">
        <is>
          <t>I041</t>
        </is>
      </c>
      <c r="B42" s="47" t="inlineStr">
        <is>
          <t>Ethanol / isopropanol waste (precipitation, washes)</t>
        </is>
      </c>
      <c r="C42" s="47" t="inlineStr">
        <is>
          <t>ethanol, IPA, isopropanol, 70% ethanol, 80% ethanol</t>
        </is>
      </c>
      <c r="D42" s="47" t="inlineStr">
        <is>
          <t>CHEM-NH</t>
        </is>
      </c>
      <c r="E42" s="45">
        <f>INDEX(Categories!$B$2:$B$36,MATCH(D42,Categories!$A$2:$A$36,0))</f>
        <v/>
      </c>
      <c r="F42" s="45">
        <f>INDEX(Categories!$D$2:$D$36,MATCH(D42,Categories!$A$2:$A$36,0))</f>
        <v/>
      </c>
      <c r="G42" s="47" t="n"/>
      <c r="H42" s="47" t="inlineStr">
        <is>
          <t>FLAMMABLE;ORGANIC;NONHAL;NO_DRAIN;NO_AUTOCLAVE</t>
        </is>
      </c>
      <c r="I42" s="47" t="inlineStr">
        <is>
          <t>No bleach or oxidisers.</t>
        </is>
      </c>
      <c r="J42" s="47" t="inlineStr">
        <is>
          <t>Flammable solvent.</t>
        </is>
      </c>
      <c r="K42" s="47" t="inlineStr">
        <is>
          <t>High</t>
        </is>
      </c>
    </row>
    <row r="43" ht="23.85" customHeight="1" s="42">
      <c r="A43" s="44" t="inlineStr">
        <is>
          <t>I042</t>
        </is>
      </c>
      <c r="B43" s="47" t="inlineStr">
        <is>
          <t>Chloroform (waste)</t>
        </is>
      </c>
      <c r="C43" s="47" t="inlineStr">
        <is>
          <t>chloroform, CHCl3</t>
        </is>
      </c>
      <c r="D43" s="47" t="inlineStr">
        <is>
          <t>CHEM-HAL</t>
        </is>
      </c>
      <c r="E43" s="45">
        <f>INDEX(Categories!$B$2:$B$36,MATCH(D43,Categories!$A$2:$A$36,0))</f>
        <v/>
      </c>
      <c r="F43" s="45">
        <f>INDEX(Categories!$D$2:$D$36,MATCH(D43,Categories!$A$2:$A$36,0))</f>
        <v/>
      </c>
      <c r="G43" s="47" t="inlineStr">
        <is>
          <t>Fume cupboard.</t>
        </is>
      </c>
      <c r="H43" s="47" t="inlineStr">
        <is>
          <t>HALOGENATED;ORGANIC;TOXIC;CARCINOGEN;NO_DRAIN;NO_AUTOCLAVE</t>
        </is>
      </c>
      <c r="I43" s="47" t="n"/>
      <c r="J43" s="47" t="inlineStr">
        <is>
          <t>Halogenated solvent.</t>
        </is>
      </c>
      <c r="K43" s="47" t="inlineStr">
        <is>
          <t>High</t>
        </is>
      </c>
    </row>
    <row r="44" ht="23.85" customHeight="1" s="42">
      <c r="A44" s="44" t="inlineStr">
        <is>
          <t>I043</t>
        </is>
      </c>
      <c r="B44" s="47" t="inlineStr">
        <is>
          <t>Phenol / buffer-saturated phenol (waste)</t>
        </is>
      </c>
      <c r="C44" s="47" t="inlineStr">
        <is>
          <t>phenol, saturated phenol</t>
        </is>
      </c>
      <c r="D44" s="47" t="inlineStr">
        <is>
          <t>CHEM-HAL</t>
        </is>
      </c>
      <c r="E44" s="45">
        <f>INDEX(Categories!$B$2:$B$36,MATCH(D44,Categories!$A$2:$A$36,0))</f>
        <v/>
      </c>
      <c r="F44" s="45">
        <f>INDEX(Categories!$D$2:$D$36,MATCH(D44,Categories!$A$2:$A$36,0))</f>
        <v/>
      </c>
      <c r="G44" s="47" t="inlineStr">
        <is>
          <t>Fume cupboard.</t>
        </is>
      </c>
      <c r="H44" s="47" t="inlineStr">
        <is>
          <t>PHENOL;ORGANIC;TOXIC;CORROSIVE;NO_DRAIN;NO_AUTOCLAVE</t>
        </is>
      </c>
      <c r="I44" s="47" t="inlineStr">
        <is>
          <t>No bleach.</t>
        </is>
      </c>
      <c r="J44" s="47" t="inlineStr">
        <is>
          <t>Toxic and corrosive; many sites collect separately.</t>
        </is>
      </c>
      <c r="K44" s="47" t="inlineStr">
        <is>
          <t>Medium</t>
        </is>
      </c>
    </row>
    <row r="45" ht="23.85" customHeight="1" s="42">
      <c r="A45" s="44" t="inlineStr">
        <is>
          <t>I044</t>
        </is>
      </c>
      <c r="B45" s="47" t="inlineStr">
        <is>
          <t>Urea / ammonium bicarbonate digestion buffers</t>
        </is>
      </c>
      <c r="C45" s="47" t="inlineStr">
        <is>
          <t>urea, ammonium bicarbonate, ABC, digestion buffer, trypsin digest</t>
        </is>
      </c>
      <c r="D45" s="47" t="inlineStr">
        <is>
          <t>CHEM-AQ</t>
        </is>
      </c>
      <c r="E45" s="45">
        <f>INDEX(Categories!$B$2:$B$36,MATCH(D45,Categories!$A$2:$A$36,0))</f>
        <v/>
      </c>
      <c r="F45" s="45">
        <f>INDEX(Categories!$D$2:$D$36,MATCH(D45,Categories!$A$2:$A$36,0))</f>
        <v/>
      </c>
      <c r="G45" s="47" t="n"/>
      <c r="H45" s="47" t="inlineStr">
        <is>
          <t>AMMONIA;NO_DRAIN</t>
        </is>
      </c>
      <c r="I45" s="47" t="inlineStr">
        <is>
          <t>No bleach (chloramines).</t>
        </is>
      </c>
      <c r="J45" s="47" t="inlineStr">
        <is>
          <t>Ammonium and urea react with hypochlorite.</t>
        </is>
      </c>
      <c r="K45" s="47" t="inlineStr">
        <is>
          <t>Medium</t>
        </is>
      </c>
    </row>
    <row r="46" ht="15" customHeight="1" s="42">
      <c r="A46" s="44" t="inlineStr">
        <is>
          <t>I045</t>
        </is>
      </c>
      <c r="B46" s="47" t="inlineStr">
        <is>
          <t>Iodoacetamide / DTT / TCEP reduction-alkylation waste</t>
        </is>
      </c>
      <c r="C46" s="47" t="inlineStr">
        <is>
          <t>IAA, iodoacetamide, DTT, TCEP, alkylation</t>
        </is>
      </c>
      <c r="D46" s="47" t="inlineStr">
        <is>
          <t>CHEM-AQ</t>
        </is>
      </c>
      <c r="E46" s="45">
        <f>INDEX(Categories!$B$2:$B$36,MATCH(D46,Categories!$A$2:$A$36,0))</f>
        <v/>
      </c>
      <c r="F46" s="45">
        <f>INDEX(Categories!$D$2:$D$36,MATCH(D46,Categories!$A$2:$A$36,0))</f>
        <v/>
      </c>
      <c r="G46" s="47" t="inlineStr">
        <is>
          <t>Protect from light while collecting.</t>
        </is>
      </c>
      <c r="H46" s="47" t="inlineStr">
        <is>
          <t>TOXIC;NO_DRAIN</t>
        </is>
      </c>
      <c r="I46" s="47" t="n"/>
      <c r="J46" s="47" t="inlineStr">
        <is>
          <t>Toxic sensitiser.</t>
        </is>
      </c>
      <c r="K46" s="47" t="inlineStr">
        <is>
          <t>Medium</t>
        </is>
      </c>
    </row>
    <row r="47" ht="23.85" customHeight="1" s="42">
      <c r="A47" s="44" t="inlineStr">
        <is>
          <t>I046</t>
        </is>
      </c>
      <c r="B47" s="47" t="inlineStr">
        <is>
          <t>Acetonitrile / water LC-MS waste (with formic acid or TFA)</t>
        </is>
      </c>
      <c r="C47" s="47" t="inlineStr">
        <is>
          <t>acetonitrile, ACN, LC-MS waste, buffer B, formic acid 0.1%</t>
        </is>
      </c>
      <c r="D47" s="47" t="inlineStr">
        <is>
          <t>CHEM-NH</t>
        </is>
      </c>
      <c r="E47" s="45">
        <f>INDEX(Categories!$B$2:$B$36,MATCH(D47,Categories!$A$2:$A$36,0))</f>
        <v/>
      </c>
      <c r="F47" s="45">
        <f>INDEX(Categories!$D$2:$D$36,MATCH(D47,Categories!$A$2:$A$36,0))</f>
        <v/>
      </c>
      <c r="G47" s="47" t="inlineStr">
        <is>
          <t>If TFA is present, check whether your site treats it as halogenated.</t>
        </is>
      </c>
      <c r="H47" s="47" t="inlineStr">
        <is>
          <t>FLAMMABLE;ORGANIC;NONHAL;ACID;NO_DRAIN;NO_AUTOCLAVE</t>
        </is>
      </c>
      <c r="I47" s="47" t="inlineStr">
        <is>
          <t>No bleach or oxidisers.</t>
        </is>
      </c>
      <c r="J47" s="47" t="inlineStr">
        <is>
          <t>Flammable organic mobile phase.</t>
        </is>
      </c>
      <c r="K47" s="47" t="inlineStr">
        <is>
          <t>Medium</t>
        </is>
      </c>
    </row>
    <row r="48" ht="15" customHeight="1" s="42">
      <c r="A48" s="44" t="inlineStr">
        <is>
          <t>I047</t>
        </is>
      </c>
      <c r="B48" s="47" t="inlineStr">
        <is>
          <t>Trifluoroacetic acid / neat formic acid</t>
        </is>
      </c>
      <c r="C48" s="47" t="inlineStr">
        <is>
          <t>TFA, formic acid, FA</t>
        </is>
      </c>
      <c r="D48" s="47" t="inlineStr">
        <is>
          <t>CHEM-ACID</t>
        </is>
      </c>
      <c r="E48" s="45">
        <f>INDEX(Categories!$B$2:$B$36,MATCH(D48,Categories!$A$2:$A$36,0))</f>
        <v/>
      </c>
      <c r="F48" s="45">
        <f>INDEX(Categories!$D$2:$D$36,MATCH(D48,Categories!$A$2:$A$36,0))</f>
        <v/>
      </c>
      <c r="G48" s="47" t="inlineStr">
        <is>
          <t>Fume cupboard; compatible container.</t>
        </is>
      </c>
      <c r="H48" s="47" t="inlineStr">
        <is>
          <t>CORROSIVE;ACID;TOXIC;NO_DRAIN</t>
        </is>
      </c>
      <c r="I48" s="47" t="inlineStr">
        <is>
          <t>No bleach. No azide.</t>
        </is>
      </c>
      <c r="J48" s="47" t="inlineStr">
        <is>
          <t>Corrosive acid.</t>
        </is>
      </c>
      <c r="K48" s="47" t="inlineStr">
        <is>
          <t>Medium</t>
        </is>
      </c>
    </row>
    <row r="49" ht="23.85" customHeight="1" s="42">
      <c r="A49" s="44" t="inlineStr">
        <is>
          <t>I048</t>
        </is>
      </c>
      <c r="B49" s="47" t="inlineStr">
        <is>
          <t>C18 StageTips, desalting tips / columns, SP3 bead tubes</t>
        </is>
      </c>
      <c r="C49" s="47" t="inlineStr">
        <is>
          <t>stage tip, C18, SP3, desalting</t>
        </is>
      </c>
      <c r="D49" s="47" t="inlineStr">
        <is>
          <t>CHEM-SOL</t>
        </is>
      </c>
      <c r="E49" s="45">
        <f>INDEX(Categories!$B$2:$B$36,MATCH(D49,Categories!$A$2:$A$36,0))</f>
        <v/>
      </c>
      <c r="F49" s="45">
        <f>INDEX(Categories!$D$2:$D$36,MATCH(D49,Categories!$A$2:$A$36,0))</f>
        <v/>
      </c>
      <c r="G49" s="47" t="n"/>
      <c r="H49" s="47" t="n"/>
      <c r="I49" s="47" t="n"/>
      <c r="J49" s="47" t="inlineStr">
        <is>
          <t>Solvent residue.</t>
        </is>
      </c>
      <c r="K49" s="47" t="inlineStr">
        <is>
          <t>Medium</t>
        </is>
      </c>
    </row>
    <row r="50" ht="23.85" customHeight="1" s="42">
      <c r="A50" s="44" t="inlineStr">
        <is>
          <t>I049</t>
        </is>
      </c>
      <c r="B50" s="47" t="inlineStr">
        <is>
          <t>LC-MS autosampler vials (glass, solvent residue)</t>
        </is>
      </c>
      <c r="C50" s="47" t="inlineStr">
        <is>
          <t>autosampler vial, HPLC vial</t>
        </is>
      </c>
      <c r="D50" s="47" t="inlineStr">
        <is>
          <t>CHEM-SOL</t>
        </is>
      </c>
      <c r="E50" s="45">
        <f>INDEX(Categories!$B$2:$B$36,MATCH(D50,Categories!$A$2:$A$36,0))</f>
        <v/>
      </c>
      <c r="F50" s="45">
        <f>INDEX(Categories!$D$2:$D$36,MATCH(D50,Categories!$A$2:$A$36,0))</f>
        <v/>
      </c>
      <c r="G50" s="47" t="inlineStr">
        <is>
          <t>Cap on; rigid container.</t>
        </is>
      </c>
      <c r="H50" s="47" t="inlineStr">
        <is>
          <t>SHARP;ORGANIC</t>
        </is>
      </c>
      <c r="I50" s="47" t="inlineStr">
        <is>
          <t>Not the clean-glass box.</t>
        </is>
      </c>
      <c r="J50" s="47" t="inlineStr">
        <is>
          <t>Contaminated glass.</t>
        </is>
      </c>
      <c r="K50" s="47" t="inlineStr">
        <is>
          <t>Medium</t>
        </is>
      </c>
    </row>
    <row r="51" ht="23.85" customHeight="1" s="42">
      <c r="A51" s="44" t="inlineStr">
        <is>
          <t>I050</t>
        </is>
      </c>
      <c r="B51" s="47" t="inlineStr">
        <is>
          <t>Cell-surface biotinylation reagents and quench</t>
        </is>
      </c>
      <c r="C51" s="47" t="inlineStr">
        <is>
          <t>sulfo-NHS-biotin, biotinylation, glycine quench</t>
        </is>
      </c>
      <c r="D51" s="47" t="inlineStr">
        <is>
          <t>CHEM-AQ</t>
        </is>
      </c>
      <c r="E51" s="45">
        <f>INDEX(Categories!$B$2:$B$36,MATCH(D51,Categories!$A$2:$A$36,0))</f>
        <v/>
      </c>
      <c r="F51" s="45">
        <f>INDEX(Categories!$D$2:$D$36,MATCH(D51,Categories!$A$2:$A$36,0))</f>
        <v/>
      </c>
      <c r="G51" s="47" t="n"/>
      <c r="H51" s="47" t="inlineStr">
        <is>
          <t>NO_DRAIN</t>
        </is>
      </c>
      <c r="I51" s="47" t="n"/>
      <c r="J51" s="47" t="inlineStr">
        <is>
          <t>Reactive reagent with biological origin; collect conservatively.</t>
        </is>
      </c>
      <c r="K51" s="47" t="inlineStr">
        <is>
          <t>Medium</t>
        </is>
      </c>
    </row>
    <row r="52" ht="23.85" customHeight="1" s="42">
      <c r="A52" s="44" t="inlineStr">
        <is>
          <t>I051</t>
        </is>
      </c>
      <c r="B52" s="47" t="inlineStr">
        <is>
          <t>Streptavidin / magnetic beads after pull-down</t>
        </is>
      </c>
      <c r="C52" s="47" t="inlineStr">
        <is>
          <t>streptavidin beads, magnetic beads, pulldown</t>
        </is>
      </c>
      <c r="D52" s="47" t="inlineStr">
        <is>
          <t>CHEM-SOL</t>
        </is>
      </c>
      <c r="E52" s="45">
        <f>INDEX(Categories!$B$2:$B$36,MATCH(D52,Categories!$A$2:$A$36,0))</f>
        <v/>
      </c>
      <c r="F52" s="45">
        <f>INDEX(Categories!$D$2:$D$36,MATCH(D52,Categories!$A$2:$A$36,0))</f>
        <v/>
      </c>
      <c r="G52" s="47" t="n"/>
      <c r="H52" s="47" t="n"/>
      <c r="I52" s="47" t="n"/>
      <c r="J52" s="47" t="inlineStr">
        <is>
          <t>Lysate and chemical residue; policy varies.</t>
        </is>
      </c>
      <c r="K52" s="47" t="inlineStr">
        <is>
          <t>Verify locally</t>
        </is>
      </c>
    </row>
    <row r="53" ht="15" customHeight="1" s="42">
      <c r="A53" s="44" t="inlineStr">
        <is>
          <t>I052</t>
        </is>
      </c>
      <c r="B53" s="47" t="inlineStr">
        <is>
          <t>Peptide digests / leftover protein samples</t>
        </is>
      </c>
      <c r="C53" s="47" t="inlineStr">
        <is>
          <t>peptides, digest, protein sample</t>
        </is>
      </c>
      <c r="D53" s="47" t="inlineStr">
        <is>
          <t>CHEM-AQ</t>
        </is>
      </c>
      <c r="E53" s="45">
        <f>INDEX(Categories!$B$2:$B$36,MATCH(D53,Categories!$A$2:$A$36,0))</f>
        <v/>
      </c>
      <c r="F53" s="45">
        <f>INDEX(Categories!$D$2:$D$36,MATCH(D53,Categories!$A$2:$A$36,0))</f>
        <v/>
      </c>
      <c r="G53" s="47" t="n"/>
      <c r="H53" s="47" t="inlineStr">
        <is>
          <t>NO_DRAIN</t>
        </is>
      </c>
      <c r="I53" s="47" t="n"/>
      <c r="J53" s="47" t="inlineStr">
        <is>
          <t>Chemical and biological residue.</t>
        </is>
      </c>
      <c r="K53" s="47" t="inlineStr">
        <is>
          <t>Medium</t>
        </is>
      </c>
    </row>
    <row r="54" ht="23.85" customHeight="1" s="42">
      <c r="A54" s="44" t="inlineStr">
        <is>
          <t>I053</t>
        </is>
      </c>
      <c r="B54" s="47" t="inlineStr">
        <is>
          <t>MTT reagent and solubilised formazan (DMSO or acidified isopropanol)</t>
        </is>
      </c>
      <c r="C54" s="47" t="inlineStr">
        <is>
          <t>MTT, formazan, DMSO</t>
        </is>
      </c>
      <c r="D54" s="47" t="inlineStr">
        <is>
          <t>CHEM-NH</t>
        </is>
      </c>
      <c r="E54" s="45">
        <f>INDEX(Categories!$B$2:$B$36,MATCH(D54,Categories!$A$2:$A$36,0))</f>
        <v/>
      </c>
      <c r="F54" s="45">
        <f>INDEX(Categories!$D$2:$D$36,MATCH(D54,Categories!$A$2:$A$36,0))</f>
        <v/>
      </c>
      <c r="G54" s="47" t="n"/>
      <c r="H54" s="47" t="inlineStr">
        <is>
          <t>ORGANIC;NONHAL;FLAMMABLE;NO_DRAIN;NO_AUTOCLAVE</t>
        </is>
      </c>
      <c r="I54" s="47" t="inlineStr">
        <is>
          <t>No bleach.</t>
        </is>
      </c>
      <c r="J54" s="47" t="inlineStr">
        <is>
          <t>Organic solvent with a dye.</t>
        </is>
      </c>
      <c r="K54" s="47" t="inlineStr">
        <is>
          <t>Medium</t>
        </is>
      </c>
    </row>
    <row r="55" ht="23.85" customHeight="1" s="42">
      <c r="A55" s="44" t="inlineStr">
        <is>
          <t>I054</t>
        </is>
      </c>
      <c r="B55" s="47" t="inlineStr">
        <is>
          <t>96-well plates after MTT solubilisation</t>
        </is>
      </c>
      <c r="C55" s="47" t="inlineStr">
        <is>
          <t>MTT plate, viability plate</t>
        </is>
      </c>
      <c r="D55" s="47" t="inlineStr">
        <is>
          <t>CHEM-SOL</t>
        </is>
      </c>
      <c r="E55" s="45">
        <f>INDEX(Categories!$B$2:$B$36,MATCH(D55,Categories!$A$2:$A$36,0))</f>
        <v/>
      </c>
      <c r="F55" s="45">
        <f>INDEX(Categories!$D$2:$D$36,MATCH(D55,Categories!$A$2:$A$36,0))</f>
        <v/>
      </c>
      <c r="G55" s="47" t="inlineStr">
        <is>
          <t>Solvent residue: do not autoclave.</t>
        </is>
      </c>
      <c r="H55" s="47" t="inlineStr">
        <is>
          <t>NO_AUTOCLAVE</t>
        </is>
      </c>
      <c r="I55" s="47" t="inlineStr">
        <is>
          <t>Do not autoclave.</t>
        </is>
      </c>
      <c r="J55" s="47" t="inlineStr">
        <is>
          <t>Solvent residue.</t>
        </is>
      </c>
      <c r="K55" s="47" t="inlineStr">
        <is>
          <t>Medium</t>
        </is>
      </c>
    </row>
    <row r="56" ht="23.85" customHeight="1" s="42">
      <c r="A56" s="44" t="inlineStr">
        <is>
          <t>I055</t>
        </is>
      </c>
      <c r="B56" s="47" t="inlineStr">
        <is>
          <t>Assay plates (CellTiter-Glo, resazurin) with lysed or live cells</t>
        </is>
      </c>
      <c r="C56" s="47" t="inlineStr">
        <is>
          <t>CellTiter-Glo, alamar blue, resazurin, luminescence plate</t>
        </is>
      </c>
      <c r="D56" s="47" t="inlineStr">
        <is>
          <t>BIO-AUT</t>
        </is>
      </c>
      <c r="E56" s="45">
        <f>INDEX(Categories!$B$2:$B$36,MATCH(D56,Categories!$A$2:$A$36,0))</f>
        <v/>
      </c>
      <c r="F56" s="45">
        <f>INDEX(Categories!$D$2:$D$36,MATCH(D56,Categories!$A$2:$A$36,0))</f>
        <v/>
      </c>
      <c r="G56" s="47" t="n"/>
      <c r="H56" s="47" t="inlineStr">
        <is>
          <t>BIOHAZARD</t>
        </is>
      </c>
      <c r="I56" s="47" t="inlineStr">
        <is>
          <t>Not if cells were drug-treated with cytotoxics.</t>
        </is>
      </c>
      <c r="J56" s="47" t="inlineStr">
        <is>
          <t>Biological material.</t>
        </is>
      </c>
      <c r="K56" s="47" t="inlineStr">
        <is>
          <t>Medium</t>
        </is>
      </c>
    </row>
    <row r="57" ht="23.85" customHeight="1" s="42">
      <c r="A57" s="44" t="inlineStr">
        <is>
          <t>I056</t>
        </is>
      </c>
      <c r="B57" s="47" t="inlineStr">
        <is>
          <t>Trypan blue solution</t>
        </is>
      </c>
      <c r="C57" s="47" t="inlineStr">
        <is>
          <t>trypan blue</t>
        </is>
      </c>
      <c r="D57" s="47" t="inlineStr">
        <is>
          <t>CMR-LIQ</t>
        </is>
      </c>
      <c r="E57" s="45">
        <f>INDEX(Categories!$B$2:$B$36,MATCH(D57,Categories!$A$2:$A$36,0))</f>
        <v/>
      </c>
      <c r="F57" s="45">
        <f>INDEX(Categories!$D$2:$D$36,MATCH(D57,Categories!$A$2:$A$36,0))</f>
        <v/>
      </c>
      <c r="G57" s="47" t="n"/>
      <c r="H57" s="47" t="inlineStr">
        <is>
          <t>CARCINOGEN;NO_DRAIN</t>
        </is>
      </c>
      <c r="I57" s="47" t="n"/>
      <c r="J57" s="47" t="inlineStr">
        <is>
          <t>Carries a carcinogen classification in some jurisdictions; check the SDS.</t>
        </is>
      </c>
      <c r="K57" s="47" t="inlineStr">
        <is>
          <t>Verify locally</t>
        </is>
      </c>
    </row>
    <row r="58" ht="15" customHeight="1" s="42">
      <c r="A58" s="44" t="inlineStr">
        <is>
          <t>I057</t>
        </is>
      </c>
      <c r="B58" s="47" t="inlineStr">
        <is>
          <t>Cell counting slides / coverslips with trypan blue</t>
        </is>
      </c>
      <c r="C58" s="47" t="inlineStr">
        <is>
          <t>hemocytometer, counting slide</t>
        </is>
      </c>
      <c r="D58" s="47" t="inlineStr">
        <is>
          <t>CMR-SOL</t>
        </is>
      </c>
      <c r="E58" s="45">
        <f>INDEX(Categories!$B$2:$B$36,MATCH(D58,Categories!$A$2:$A$36,0))</f>
        <v/>
      </c>
      <c r="F58" s="45">
        <f>INDEX(Categories!$D$2:$D$36,MATCH(D58,Categories!$A$2:$A$36,0))</f>
        <v/>
      </c>
      <c r="G58" s="47" t="n"/>
      <c r="H58" s="47" t="inlineStr">
        <is>
          <t>CARCINOGEN</t>
        </is>
      </c>
      <c r="I58" s="47" t="n"/>
      <c r="J58" s="47" t="inlineStr">
        <is>
          <t>As for trypan blue.</t>
        </is>
      </c>
      <c r="K58" s="47" t="inlineStr">
        <is>
          <t>Verify locally</t>
        </is>
      </c>
    </row>
    <row r="59" ht="23.85" customHeight="1" s="42">
      <c r="A59" s="44" t="inlineStr">
        <is>
          <t>I058</t>
        </is>
      </c>
      <c r="B59" s="47" t="inlineStr">
        <is>
          <t>Formaldehyde / formalin / 4% PFA solutions</t>
        </is>
      </c>
      <c r="C59" s="47" t="inlineStr">
        <is>
          <t>formaldehyde, PFA, paraformaldehyde, formalin</t>
        </is>
      </c>
      <c r="D59" s="47" t="inlineStr">
        <is>
          <t>CMR-LIQ</t>
        </is>
      </c>
      <c r="E59" s="45">
        <f>INDEX(Categories!$B$2:$B$36,MATCH(D59,Categories!$A$2:$A$36,0))</f>
        <v/>
      </c>
      <c r="F59" s="45">
        <f>INDEX(Categories!$D$2:$D$36,MATCH(D59,Categories!$A$2:$A$36,0))</f>
        <v/>
      </c>
      <c r="G59" s="47" t="inlineStr">
        <is>
          <t>Fume cupboard.</t>
        </is>
      </c>
      <c r="H59" s="47" t="inlineStr">
        <is>
          <t>FORMALDEHYDE;CARCINOGEN;TOXIC;NO_DRAIN;NO_AUTOCLAVE</t>
        </is>
      </c>
      <c r="I59" s="47" t="inlineStr">
        <is>
          <t>Never mix with bleach.</t>
        </is>
      </c>
      <c r="J59" s="47" t="inlineStr">
        <is>
          <t>Carcinogen.</t>
        </is>
      </c>
      <c r="K59" s="47" t="inlineStr">
        <is>
          <t>High</t>
        </is>
      </c>
    </row>
    <row r="60" ht="23.85" customHeight="1" s="42">
      <c r="A60" s="44" t="inlineStr">
        <is>
          <t>I059</t>
        </is>
      </c>
      <c r="B60" s="47" t="inlineStr">
        <is>
          <t>Xylene / xylene substitutes</t>
        </is>
      </c>
      <c r="C60" s="47" t="inlineStr">
        <is>
          <t>xylene, histoclear</t>
        </is>
      </c>
      <c r="D60" s="47" t="inlineStr">
        <is>
          <t>CHEM-NH</t>
        </is>
      </c>
      <c r="E60" s="45">
        <f>INDEX(Categories!$B$2:$B$36,MATCH(D60,Categories!$A$2:$A$36,0))</f>
        <v/>
      </c>
      <c r="F60" s="45">
        <f>INDEX(Categories!$D$2:$D$36,MATCH(D60,Categories!$A$2:$A$36,0))</f>
        <v/>
      </c>
      <c r="G60" s="47" t="inlineStr">
        <is>
          <t>Fume cupboard.</t>
        </is>
      </c>
      <c r="H60" s="47" t="inlineStr">
        <is>
          <t>FLAMMABLE;ORGANIC;NONHAL;NO_DRAIN;NO_AUTOCLAVE</t>
        </is>
      </c>
      <c r="I60" s="47" t="inlineStr">
        <is>
          <t>No bleach or oxidisers.</t>
        </is>
      </c>
      <c r="J60" s="47" t="inlineStr">
        <is>
          <t>Flammable solvent.</t>
        </is>
      </c>
      <c r="K60" s="47" t="inlineStr">
        <is>
          <t>High</t>
        </is>
      </c>
    </row>
    <row r="61" ht="23.85" customHeight="1" s="42">
      <c r="A61" s="44" t="inlineStr">
        <is>
          <t>I060</t>
        </is>
      </c>
      <c r="B61" s="47" t="inlineStr">
        <is>
          <t>DAB (diaminobenzidine) solutions and DAB-stained consumables</t>
        </is>
      </c>
      <c r="C61" s="47" t="inlineStr">
        <is>
          <t>DAB, diaminobenzidine, IHC chromogen</t>
        </is>
      </c>
      <c r="D61" s="47" t="inlineStr">
        <is>
          <t>CMR-LIQ</t>
        </is>
      </c>
      <c r="E61" s="45">
        <f>INDEX(Categories!$B$2:$B$36,MATCH(D61,Categories!$A$2:$A$36,0))</f>
        <v/>
      </c>
      <c r="F61" s="45">
        <f>INDEX(Categories!$D$2:$D$36,MATCH(D61,Categories!$A$2:$A$36,0))</f>
        <v/>
      </c>
      <c r="G61" s="47" t="inlineStr">
        <is>
          <t>Some sites inactivate per SOP before collection.</t>
        </is>
      </c>
      <c r="H61" s="47" t="inlineStr">
        <is>
          <t>CARCINOGEN;NO_DRAIN</t>
        </is>
      </c>
      <c r="I61" s="47" t="n"/>
      <c r="J61" s="47" t="inlineStr">
        <is>
          <t>Suspected carcinogen.</t>
        </is>
      </c>
      <c r="K61" s="47" t="inlineStr">
        <is>
          <t>Medium</t>
        </is>
      </c>
    </row>
    <row r="62" ht="23.85" customHeight="1" s="42">
      <c r="A62" s="44" t="inlineStr">
        <is>
          <t>I061</t>
        </is>
      </c>
      <c r="B62" s="47" t="inlineStr">
        <is>
          <t>Stained slides and coverslips (fixed tissue / cells, mounting medium)</t>
        </is>
      </c>
      <c r="C62" s="47" t="inlineStr">
        <is>
          <t>IHC slide, IF slide, mounted slide</t>
        </is>
      </c>
      <c r="D62" s="47" t="inlineStr">
        <is>
          <t>SHP-CHEM</t>
        </is>
      </c>
      <c r="E62" s="45">
        <f>INDEX(Categories!$B$2:$B$36,MATCH(D62,Categories!$A$2:$A$36,0))</f>
        <v/>
      </c>
      <c r="F62" s="45">
        <f>INDEX(Categories!$D$2:$D$36,MATCH(D62,Categories!$A$2:$A$36,0))</f>
        <v/>
      </c>
      <c r="G62" s="47" t="n"/>
      <c r="H62" s="47" t="inlineStr">
        <is>
          <t>SHARP</t>
        </is>
      </c>
      <c r="I62" s="47" t="n"/>
      <c r="J62" s="47" t="inlineStr">
        <is>
          <t>Glass with chemical residue.</t>
        </is>
      </c>
      <c r="K62" s="47" t="inlineStr">
        <is>
          <t>Verify locally</t>
        </is>
      </c>
    </row>
    <row r="63" ht="23.85" customHeight="1" s="42">
      <c r="A63" s="44" t="inlineStr">
        <is>
          <t>I062</t>
        </is>
      </c>
      <c r="B63" s="47" t="inlineStr">
        <is>
          <t>Mounting medium (with or without DAPI) residues and tips</t>
        </is>
      </c>
      <c r="C63" s="47" t="inlineStr">
        <is>
          <t>DAPI, Vectashield, ProLong</t>
        </is>
      </c>
      <c r="D63" s="47" t="inlineStr">
        <is>
          <t>CHEM-SOL</t>
        </is>
      </c>
      <c r="E63" s="45">
        <f>INDEX(Categories!$B$2:$B$36,MATCH(D63,Categories!$A$2:$A$36,0))</f>
        <v/>
      </c>
      <c r="F63" s="45">
        <f>INDEX(Categories!$D$2:$D$36,MATCH(D63,Categories!$A$2:$A$36,0))</f>
        <v/>
      </c>
      <c r="G63" s="47" t="n"/>
      <c r="H63" s="47" t="n"/>
      <c r="I63" s="47" t="n"/>
      <c r="J63" s="47" t="inlineStr">
        <is>
          <t>Chemical residue.</t>
        </is>
      </c>
      <c r="K63" s="47" t="inlineStr">
        <is>
          <t>Medium</t>
        </is>
      </c>
    </row>
    <row r="64" ht="23.85" customHeight="1" s="42">
      <c r="A64" s="44" t="inlineStr">
        <is>
          <t>I063</t>
        </is>
      </c>
      <c r="B64" s="47" t="inlineStr">
        <is>
          <t>Antibody solutions in PBS (azide-free), blocking buffers</t>
        </is>
      </c>
      <c r="C64" s="47" t="inlineStr">
        <is>
          <t>primary antibody, secondary antibody, BSA, blocking</t>
        </is>
      </c>
      <c r="D64" s="47" t="inlineStr">
        <is>
          <t>DRAIN</t>
        </is>
      </c>
      <c r="E64" s="45">
        <f>INDEX(Categories!$B$2:$B$36,MATCH(D64,Categories!$A$2:$A$36,0))</f>
        <v/>
      </c>
      <c r="F64" s="45">
        <f>INDEX(Categories!$D$2:$D$36,MATCH(D64,Categories!$A$2:$A$36,0))</f>
        <v/>
      </c>
      <c r="G64" s="47" t="inlineStr">
        <is>
          <t>Only if azide-free.</t>
        </is>
      </c>
      <c r="H64" s="47" t="n"/>
      <c r="I64" s="47" t="inlineStr">
        <is>
          <t>If azide is present use the azide item.</t>
        </is>
      </c>
      <c r="J64" s="47" t="inlineStr">
        <is>
          <t>Low hazard when azide-free.</t>
        </is>
      </c>
      <c r="K64" s="47" t="inlineStr">
        <is>
          <t>Medium</t>
        </is>
      </c>
    </row>
    <row r="65" ht="15" customHeight="1" s="42">
      <c r="A65" s="44" t="inlineStr">
        <is>
          <t>I064</t>
        </is>
      </c>
      <c r="B65" s="47" t="inlineStr">
        <is>
          <t>Strong acids (HCl, H2SO4, HNO3)</t>
        </is>
      </c>
      <c r="C65" s="47" t="inlineStr">
        <is>
          <t>hydrochloric acid, sulfuric acid, nitric acid</t>
        </is>
      </c>
      <c r="D65" s="47" t="inlineStr">
        <is>
          <t>CHEM-ACID</t>
        </is>
      </c>
      <c r="E65" s="45">
        <f>INDEX(Categories!$B$2:$B$36,MATCH(D65,Categories!$A$2:$A$36,0))</f>
        <v/>
      </c>
      <c r="F65" s="45">
        <f>INDEX(Categories!$D$2:$D$36,MATCH(D65,Categories!$A$2:$A$36,0))</f>
        <v/>
      </c>
      <c r="G65" s="47" t="inlineStr">
        <is>
          <t>Fume cupboard.</t>
        </is>
      </c>
      <c r="H65" s="47" t="inlineStr">
        <is>
          <t>CORROSIVE;ACID;NO_DRAIN</t>
        </is>
      </c>
      <c r="I65" s="47" t="inlineStr">
        <is>
          <t>No bleach, azide, cyanide or organics.</t>
        </is>
      </c>
      <c r="J65" s="47" t="inlineStr">
        <is>
          <t>Corrosive.</t>
        </is>
      </c>
      <c r="K65" s="47" t="inlineStr">
        <is>
          <t>High</t>
        </is>
      </c>
    </row>
    <row r="66" ht="15" customHeight="1" s="42">
      <c r="A66" s="44" t="inlineStr">
        <is>
          <t>I065</t>
        </is>
      </c>
      <c r="B66" s="47" t="inlineStr">
        <is>
          <t>Strong alkali (NaOH / KOH, roughly pH 11 and above)</t>
        </is>
      </c>
      <c r="C66" s="47" t="inlineStr">
        <is>
          <t>sodium hydroxide, potassium hydroxide</t>
        </is>
      </c>
      <c r="D66" s="47" t="inlineStr">
        <is>
          <t>CHEM-BASE</t>
        </is>
      </c>
      <c r="E66" s="45">
        <f>INDEX(Categories!$B$2:$B$36,MATCH(D66,Categories!$A$2:$A$36,0))</f>
        <v/>
      </c>
      <c r="F66" s="45">
        <f>INDEX(Categories!$D$2:$D$36,MATCH(D66,Categories!$A$2:$A$36,0))</f>
        <v/>
      </c>
      <c r="G66" s="47" t="n"/>
      <c r="H66" s="47" t="inlineStr">
        <is>
          <t>CORROSIVE;BASE;NO_DRAIN</t>
        </is>
      </c>
      <c r="I66" s="47" t="inlineStr">
        <is>
          <t>No acids.</t>
        </is>
      </c>
      <c r="J66" s="47" t="inlineStr">
        <is>
          <t>Corrosive.</t>
        </is>
      </c>
      <c r="K66" s="47" t="inlineStr">
        <is>
          <t>Medium</t>
        </is>
      </c>
    </row>
    <row r="67" ht="23.85" customHeight="1" s="42">
      <c r="A67" s="44" t="inlineStr">
        <is>
          <t>I066</t>
        </is>
      </c>
      <c r="B67" s="47" t="inlineStr">
        <is>
          <t>Used bleach / hypochlorite decontamination solution</t>
        </is>
      </c>
      <c r="C67" s="47" t="inlineStr">
        <is>
          <t>bleach, hypochlorite, Chlorclean</t>
        </is>
      </c>
      <c r="D67" s="47" t="inlineStr">
        <is>
          <t>DRAIN</t>
        </is>
      </c>
      <c r="E67" s="45">
        <f>INDEX(Categories!$B$2:$B$36,MATCH(D67,Categories!$A$2:$A$36,0))</f>
        <v/>
      </c>
      <c r="F67" s="45">
        <f>INDEX(Categories!$D$2:$D$36,MATCH(D67,Categories!$A$2:$A$36,0))</f>
        <v/>
      </c>
      <c r="G67" s="47" t="inlineStr">
        <is>
          <t>Flush with plenty of water.</t>
        </is>
      </c>
      <c r="H67" s="47" t="inlineStr">
        <is>
          <t>BLEACH;OXIDISER;NO_AUTOCLAVE</t>
        </is>
      </c>
      <c r="I67" s="47" t="inlineStr">
        <is>
          <t>Never combine with acids, ammonia/ammonium, guanidinium, formaldehyde or solvents. Never autoclave.</t>
        </is>
      </c>
      <c r="J67" s="47" t="inlineStr">
        <is>
          <t>Oxidiser; releases toxic gas with many lab chemicals.</t>
        </is>
      </c>
      <c r="K67" s="47" t="inlineStr">
        <is>
          <t>Medium</t>
        </is>
      </c>
    </row>
    <row r="68" ht="23.85" customHeight="1" s="42">
      <c r="A68" s="44" t="inlineStr">
        <is>
          <t>I067</t>
        </is>
      </c>
      <c r="B68" s="47" t="inlineStr">
        <is>
          <t>Radiolabelled material (32P, 3H, 125I, etc.)</t>
        </is>
      </c>
      <c r="C68" s="47" t="inlineStr">
        <is>
          <t>radioactive, isotope, radiolabel</t>
        </is>
      </c>
      <c r="D68" s="47" t="inlineStr">
        <is>
          <t>RAD</t>
        </is>
      </c>
      <c r="E68" s="45">
        <f>INDEX(Categories!$B$2:$B$36,MATCH(D68,Categories!$A$2:$A$36,0))</f>
        <v/>
      </c>
      <c r="F68" s="45">
        <f>INDEX(Categories!$D$2:$D$36,MATCH(D68,Categories!$A$2:$A$36,0))</f>
        <v/>
      </c>
      <c r="G68" s="47" t="inlineStr">
        <is>
          <t>Escalate to the Radiation Protection Supervisor.</t>
        </is>
      </c>
      <c r="H68" s="47" t="inlineStr">
        <is>
          <t>RADIOACTIVE;NO_DRAIN;NO_AUTOCLAVE</t>
        </is>
      </c>
      <c r="I68" s="47" t="inlineStr">
        <is>
          <t>Do not classify in this tool.</t>
        </is>
      </c>
      <c r="J68" s="47" t="inlineStr">
        <is>
          <t>Out of scope.</t>
        </is>
      </c>
      <c r="K68" s="47" t="inlineStr">
        <is>
          <t>High</t>
        </is>
      </c>
    </row>
    <row r="69" ht="15" customHeight="1" s="42">
      <c r="A69" s="44" t="inlineStr">
        <is>
          <t>I068</t>
        </is>
      </c>
      <c r="B69" s="47" t="inlineStr">
        <is>
          <t>Unlabelled / unidentified liquid or container</t>
        </is>
      </c>
      <c r="C69" s="47" t="inlineStr">
        <is>
          <t>unknown, no label, mystery bottle</t>
        </is>
      </c>
      <c r="D69" s="47" t="inlineStr">
        <is>
          <t>UNK</t>
        </is>
      </c>
      <c r="E69" s="45">
        <f>INDEX(Categories!$B$2:$B$36,MATCH(D69,Categories!$A$2:$A$36,0))</f>
        <v/>
      </c>
      <c r="F69" s="45">
        <f>INDEX(Categories!$D$2:$D$36,MATCH(D69,Categories!$A$2:$A$36,0))</f>
        <v/>
      </c>
      <c r="G69" s="47" t="inlineStr">
        <is>
          <t>Label as unknown and quarantine.</t>
        </is>
      </c>
      <c r="H69" s="47" t="inlineStr">
        <is>
          <t>NO_DRAIN;NO_AUTOCLAVE</t>
        </is>
      </c>
      <c r="I69" s="47" t="n"/>
      <c r="J69" s="47" t="inlineStr">
        <is>
          <t>Cannot classify safely.</t>
        </is>
      </c>
      <c r="K69" s="47" t="inlineStr">
        <is>
          <t>High</t>
        </is>
      </c>
    </row>
    <row r="70" ht="35.05" customHeight="1" s="42">
      <c r="A70" s="44" t="inlineStr">
        <is>
          <t>I069</t>
        </is>
      </c>
      <c r="B70" s="47" t="inlineStr">
        <is>
          <t>Acetic anhydride (waste or surplus)</t>
        </is>
      </c>
      <c r="C70" s="47" t="inlineStr">
        <is>
          <t>acetic anhydride, Ac2O, acetylation reagent</t>
        </is>
      </c>
      <c r="D70" s="47" t="inlineStr">
        <is>
          <t>REACT</t>
        </is>
      </c>
      <c r="E70" s="45">
        <f>INDEX(Categories!$B$2:$B$36,MATCH(D70,Categories!$A$2:$A$36,0))</f>
        <v/>
      </c>
      <c r="F70" s="45">
        <f>INDEX(Categories!$D$2:$D$36,MATCH(D70,Categories!$A$2:$A$36,0))</f>
        <v/>
      </c>
      <c r="G70" s="47" t="inlineStr">
        <is>
          <t>Own labelled container with vented cap; fume cupboard; quench only under an approved SOP.</t>
        </is>
      </c>
      <c r="H70" s="47" t="inlineStr">
        <is>
          <t>FLAMMABLE;CORROSIVE;ORGANIC;WATER_REACTIVE;NO_DRAIN;NO_AUTOCLAVE</t>
        </is>
      </c>
      <c r="I70" s="47" t="inlineStr">
        <is>
          <t>Not in the solvent carboy, aqueous waste or the drain. Keep from alcohols, amines, bases and oxidisers. Check site record-keeping rules for controlled drug precursors.</t>
        </is>
      </c>
      <c r="J70" s="47" t="inlineStr">
        <is>
          <t>Reacts exothermically with water and alcohols.</t>
        </is>
      </c>
      <c r="K70" s="47" t="inlineStr">
        <is>
          <t>Medium</t>
        </is>
      </c>
    </row>
    <row r="71" ht="23.85" customHeight="1" s="42">
      <c r="A71" s="44" t="inlineStr">
        <is>
          <t>I070</t>
        </is>
      </c>
      <c r="B71" s="47" t="inlineStr">
        <is>
          <t>Peroxide-forming solvents past date (diethyl ether, THF, dioxane)</t>
        </is>
      </c>
      <c r="C71" s="47" t="inlineStr">
        <is>
          <t>ether, THF, tetrahydrofuran, dioxane, old solvent</t>
        </is>
      </c>
      <c r="D71" s="47" t="inlineStr">
        <is>
          <t>REACT</t>
        </is>
      </c>
      <c r="E71" s="45">
        <f>INDEX(Categories!$B$2:$B$36,MATCH(D71,Categories!$A$2:$A$36,0))</f>
        <v/>
      </c>
      <c r="F71" s="45">
        <f>INDEX(Categories!$D$2:$D$36,MATCH(D71,Categories!$A$2:$A$36,0))</f>
        <v/>
      </c>
      <c r="G71" s="47" t="inlineStr">
        <is>
          <t>Do not open if crystals are visible or the container is old; call the safety officer.</t>
        </is>
      </c>
      <c r="H71" s="47" t="inlineStr">
        <is>
          <t>FLAMMABLE;ORGANIC;PEROXIDE_FORMER;NO_DRAIN;NO_AUTOCLAVE</t>
        </is>
      </c>
      <c r="I71" s="47" t="inlineStr">
        <is>
          <t>Do not pour into the solvent carboy.</t>
        </is>
      </c>
      <c r="J71" s="47" t="inlineStr">
        <is>
          <t>Peroxides can detonate on friction or heat.</t>
        </is>
      </c>
      <c r="K71" s="47" t="inlineStr">
        <is>
          <t>High</t>
        </is>
      </c>
    </row>
    <row r="72" ht="23.85" customHeight="1" s="42">
      <c r="A72" s="44" t="inlineStr">
        <is>
          <t>I071</t>
        </is>
      </c>
      <c r="B72" s="47" t="inlineStr">
        <is>
          <t>Picric acid (dry or old)</t>
        </is>
      </c>
      <c r="C72" s="47" t="inlineStr">
        <is>
          <t>picric acid, trinitrophenol</t>
        </is>
      </c>
      <c r="D72" s="47" t="inlineStr">
        <is>
          <t>REACT</t>
        </is>
      </c>
      <c r="E72" s="45">
        <f>INDEX(Categories!$B$2:$B$36,MATCH(D72,Categories!$A$2:$A$36,0))</f>
        <v/>
      </c>
      <c r="F72" s="45">
        <f>INDEX(Categories!$D$2:$D$36,MATCH(D72,Categories!$A$2:$A$36,0))</f>
        <v/>
      </c>
      <c r="G72" s="47" t="inlineStr">
        <is>
          <t>Do not move or open; call the safety officer.</t>
        </is>
      </c>
      <c r="H72" s="47" t="inlineStr">
        <is>
          <t>EXPLOSIVE;TOXIC;ACID;NO_DRAIN;NO_AUTOCLAVE</t>
        </is>
      </c>
      <c r="I72" s="47" t="inlineStr">
        <is>
          <t>Never let it dry out; never touch a crusted lid.</t>
        </is>
      </c>
      <c r="J72" s="47" t="inlineStr">
        <is>
          <t>Dry picric acid is shock-sensitive.</t>
        </is>
      </c>
      <c r="K72" s="47" t="inlineStr">
        <is>
          <t>High</t>
        </is>
      </c>
    </row>
    <row r="73" ht="23.85" customHeight="1" s="42">
      <c r="A73" s="44" t="inlineStr">
        <is>
          <t>I072</t>
        </is>
      </c>
      <c r="B73" s="47" t="inlineStr">
        <is>
          <t>Sodium azide powder or solids</t>
        </is>
      </c>
      <c r="C73" s="47" t="inlineStr">
        <is>
          <t>sodium azide powder, azide stock</t>
        </is>
      </c>
      <c r="D73" s="47" t="inlineStr">
        <is>
          <t>REACT</t>
        </is>
      </c>
      <c r="E73" s="45">
        <f>INDEX(Categories!$B$2:$B$36,MATCH(D73,Categories!$A$2:$A$36,0))</f>
        <v/>
      </c>
      <c r="F73" s="45">
        <f>INDEX(Categories!$D$2:$D$36,MATCH(D73,Categories!$A$2:$A$36,0))</f>
        <v/>
      </c>
      <c r="G73" s="47" t="inlineStr">
        <is>
          <t>Own container; keep dry and away from acids and metals.</t>
        </is>
      </c>
      <c r="H73" s="47" t="inlineStr">
        <is>
          <t>AZIDE;TOXIC;NO_DRAIN;NO_AUTOCLAVE</t>
        </is>
      </c>
      <c r="I73" s="47" t="inlineStr">
        <is>
          <t>No acids. No metal containers or drains.</t>
        </is>
      </c>
      <c r="J73" s="47" t="inlineStr">
        <is>
          <t>Toxic; forms explosive azides with metals.</t>
        </is>
      </c>
      <c r="K73" s="47" t="inlineStr">
        <is>
          <t>High</t>
        </is>
      </c>
    </row>
    <row r="74" ht="15" customHeight="1" s="42">
      <c r="A74" s="44" t="inlineStr">
        <is>
          <t>I073</t>
        </is>
      </c>
      <c r="B74" s="47" t="inlineStr">
        <is>
          <t>Needles, syringes and glass used with cytotoxic drugs</t>
        </is>
      </c>
      <c r="C74" s="47" t="inlineStr">
        <is>
          <t>cytotoxic needle, chemo sharps</t>
        </is>
      </c>
      <c r="D74" s="47" t="inlineStr">
        <is>
          <t>SHP-CYT</t>
        </is>
      </c>
      <c r="E74" s="45">
        <f>INDEX(Categories!$B$2:$B$36,MATCH(D74,Categories!$A$2:$A$36,0))</f>
        <v/>
      </c>
      <c r="F74" s="45">
        <f>INDEX(Categories!$D$2:$D$36,MATCH(D74,Categories!$A$2:$A$36,0))</f>
        <v/>
      </c>
      <c r="G74" s="47" t="inlineStr">
        <is>
          <t>Purple-lidded sharps bin; fill to the line only.</t>
        </is>
      </c>
      <c r="H74" s="47" t="inlineStr">
        <is>
          <t>SHARP;CYTOTOXIC;TOXIC</t>
        </is>
      </c>
      <c r="I74" s="47" t="inlineStr">
        <is>
          <t>Never in orange or yellow sharps bins.</t>
        </is>
      </c>
      <c r="J74" s="47" t="inlineStr">
        <is>
          <t>Cytotoxic contamination.</t>
        </is>
      </c>
      <c r="K74" s="47" t="inlineStr">
        <is>
          <t>High</t>
        </is>
      </c>
    </row>
    <row r="75" ht="23.85" customHeight="1" s="42">
      <c r="A75" s="44" t="inlineStr">
        <is>
          <t>I074</t>
        </is>
      </c>
      <c r="B75" s="47" t="inlineStr">
        <is>
          <t>Expired or unused non-cytotoxic medicines (including veterinary)</t>
        </is>
      </c>
      <c r="C75" s="47" t="inlineStr">
        <is>
          <t>expired drug, medicine, antibiotic tablets</t>
        </is>
      </c>
      <c r="D75" s="47" t="inlineStr">
        <is>
          <t>PHARM</t>
        </is>
      </c>
      <c r="E75" s="45">
        <f>INDEX(Categories!$B$2:$B$36,MATCH(D75,Categories!$A$2:$A$36,0))</f>
        <v/>
      </c>
      <c r="F75" s="45">
        <f>INDEX(Categories!$D$2:$D$36,MATCH(D75,Categories!$A$2:$A$36,0))</f>
        <v/>
      </c>
      <c r="G75" s="47" t="inlineStr">
        <is>
          <t>Keep in original packaging.</t>
        </is>
      </c>
      <c r="H75" s="47" t="inlineStr">
        <is>
          <t>NO_DRAIN</t>
        </is>
      </c>
      <c r="I75" s="47" t="inlineStr">
        <is>
          <t>Never drain. Controlled drugs: escalate.</t>
        </is>
      </c>
      <c r="J75" s="47" t="inlineStr">
        <is>
          <t>Pharmaceutical stream.</t>
        </is>
      </c>
      <c r="K75" s="47" t="inlineStr">
        <is>
          <t>Verify locally</t>
        </is>
      </c>
    </row>
    <row r="76" ht="23.85" customHeight="1" s="42">
      <c r="A76" s="44" t="inlineStr">
        <is>
          <t>I075</t>
        </is>
      </c>
      <c r="B76" s="47" t="inlineStr">
        <is>
          <t>Solutions or solids with heavy metals (Hg, Cd, Pb, Cr(VI))</t>
        </is>
      </c>
      <c r="C76" s="47" t="inlineStr">
        <is>
          <t>mercury, cadmium, lead, chromate, dichromate</t>
        </is>
      </c>
      <c r="D76" s="47" t="inlineStr">
        <is>
          <t>METAL</t>
        </is>
      </c>
      <c r="E76" s="45">
        <f>INDEX(Categories!$B$2:$B$36,MATCH(D76,Categories!$A$2:$A$36,0))</f>
        <v/>
      </c>
      <c r="F76" s="45">
        <f>INDEX(Categories!$D$2:$D$36,MATCH(D76,Categories!$A$2:$A$36,0))</f>
        <v/>
      </c>
      <c r="G76" s="47" t="inlineStr">
        <is>
          <t>Own container.</t>
        </is>
      </c>
      <c r="H76" s="47" t="inlineStr">
        <is>
          <t>TOXIC;HEAVY_METAL;NO_DRAIN;NO_AUTOCLAVE</t>
        </is>
      </c>
      <c r="I76" s="47" t="inlineStr">
        <is>
          <t>Never drain. Keep apart from azide.</t>
        </is>
      </c>
      <c r="J76" s="47" t="inlineStr">
        <is>
          <t>Persistent toxic metals.</t>
        </is>
      </c>
      <c r="K76" s="47" t="inlineStr">
        <is>
          <t>High</t>
        </is>
      </c>
    </row>
    <row r="77" ht="23.85" customHeight="1" s="42">
      <c r="A77" s="44" t="inlineStr">
        <is>
          <t>I076</t>
        </is>
      </c>
      <c r="B77" s="47" t="inlineStr">
        <is>
          <t>Silver stain solutions (silver nitrate) from gel staining</t>
        </is>
      </c>
      <c r="C77" s="47" t="inlineStr">
        <is>
          <t>silver stain, silver nitrate, silver staining gel</t>
        </is>
      </c>
      <c r="D77" s="47" t="inlineStr">
        <is>
          <t>METAL</t>
        </is>
      </c>
      <c r="E77" s="45">
        <f>INDEX(Categories!$B$2:$B$36,MATCH(D77,Categories!$A$2:$A$36,0))</f>
        <v/>
      </c>
      <c r="F77" s="45">
        <f>INDEX(Categories!$D$2:$D$36,MATCH(D77,Categories!$A$2:$A$36,0))</f>
        <v/>
      </c>
      <c r="G77" s="47" t="inlineStr">
        <is>
          <t>Collect all silver steps; do not drain.</t>
        </is>
      </c>
      <c r="H77" s="47" t="inlineStr">
        <is>
          <t>TOXIC;OXIDISER;HEAVY_METAL;NO_DRAIN;NO_AUTOCLAVE</t>
        </is>
      </c>
      <c r="I77" s="47" t="inlineStr">
        <is>
          <t>No organics or solvents. Never drain.</t>
        </is>
      </c>
      <c r="J77" s="47" t="inlineStr">
        <is>
          <t>Silver is a toxic metal and silver nitrate is an oxidiser.</t>
        </is>
      </c>
      <c r="K77" s="47" t="inlineStr">
        <is>
          <t>Medium</t>
        </is>
      </c>
    </row>
    <row r="78" ht="23.85" customHeight="1" s="42">
      <c r="A78" s="44" t="inlineStr">
        <is>
          <t>I077</t>
        </is>
      </c>
      <c r="B78" s="47" t="inlineStr">
        <is>
          <t>Surplus or unwanted reagents in original containers</t>
        </is>
      </c>
      <c r="C78" s="47" t="inlineStr">
        <is>
          <t>old reagent, surplus chemical, unwanted bottle</t>
        </is>
      </c>
      <c r="D78" s="47" t="inlineStr">
        <is>
          <t>LABPACK</t>
        </is>
      </c>
      <c r="E78" s="45">
        <f>INDEX(Categories!$B$2:$B$36,MATCH(D78,Categories!$A$2:$A$36,0))</f>
        <v/>
      </c>
      <c r="F78" s="45">
        <f>INDEX(Categories!$D$2:$D$36,MATCH(D78,Categories!$A$2:$A$36,0))</f>
        <v/>
      </c>
      <c r="G78" s="47" t="inlineStr">
        <is>
          <t>Keep original container and label; list on the lab-pack inventory.</t>
        </is>
      </c>
      <c r="H78" s="47" t="inlineStr">
        <is>
          <t>NO_DRAIN</t>
        </is>
      </c>
      <c r="I78" s="47" t="inlineStr">
        <is>
          <t>Do not decant or combine.</t>
        </is>
      </c>
      <c r="J78" s="47" t="inlineStr">
        <is>
          <t>Unknown mixtures are riskier than labelled originals.</t>
        </is>
      </c>
      <c r="K78" s="47" t="inlineStr">
        <is>
          <t>Medium</t>
        </is>
      </c>
    </row>
    <row r="79" ht="23.85" customHeight="1" s="42">
      <c r="A79" s="44" t="inlineStr">
        <is>
          <t>I078</t>
        </is>
      </c>
      <c r="B79" s="47" t="inlineStr">
        <is>
          <t>Polystyrene boxes, clean cool packs and supplier packaging</t>
        </is>
      </c>
      <c r="C79" s="47" t="inlineStr">
        <is>
          <t>polystyrene, ice pack, cool pack, cold chain box</t>
        </is>
      </c>
      <c r="D79" s="47" t="inlineStr">
        <is>
          <t>TAKEBACK</t>
        </is>
      </c>
      <c r="E79" s="45">
        <f>INDEX(Categories!$B$2:$B$36,MATCH(D79,Categories!$A$2:$A$36,0))</f>
        <v/>
      </c>
      <c r="F79" s="45">
        <f>INDEX(Categories!$D$2:$D$36,MATCH(D79,Categories!$A$2:$A$36,0))</f>
        <v/>
      </c>
      <c r="G79" s="47" t="inlineStr">
        <is>
          <t>Clean and dry; return where the supplier offers take-back.</t>
        </is>
      </c>
      <c r="H79" s="47" t="n"/>
      <c r="I79" s="47" t="inlineStr">
        <is>
          <t>Not if contaminated.</t>
        </is>
      </c>
      <c r="J79" s="47" t="inlineStr">
        <is>
          <t>Supplier schemes exist for some items.</t>
        </is>
      </c>
      <c r="K79" s="47" t="inlineStr">
        <is>
          <t>Verify locally</t>
        </is>
      </c>
    </row>
    <row r="80" ht="15" customHeight="1" s="42">
      <c r="A80" s="44" t="inlineStr">
        <is>
          <t>I079</t>
        </is>
      </c>
      <c r="B80" s="47" t="inlineStr">
        <is>
          <t>Unopened in-date surplus reagents and consumables</t>
        </is>
      </c>
      <c r="C80" s="47" t="inlineStr">
        <is>
          <t>surplus reagent, spare kit, unopened</t>
        </is>
      </c>
      <c r="D80" s="47" t="inlineStr">
        <is>
          <t>REUSE</t>
        </is>
      </c>
      <c r="E80" s="45">
        <f>INDEX(Categories!$B$2:$B$36,MATCH(D80,Categories!$A$2:$A$36,0))</f>
        <v/>
      </c>
      <c r="F80" s="45">
        <f>INDEX(Categories!$D$2:$D$36,MATCH(D80,Categories!$A$2:$A$36,0))</f>
        <v/>
      </c>
      <c r="G80" s="47" t="inlineStr">
        <is>
          <t>Offer to other labs first.</t>
        </is>
      </c>
      <c r="H80" s="47" t="n"/>
      <c r="I80" s="47" t="inlineStr">
        <is>
          <t>Not if opened, expired or unlabelled.</t>
        </is>
      </c>
      <c r="J80" s="47" t="inlineStr">
        <is>
          <t>Avoids waste and cost.</t>
        </is>
      </c>
      <c r="K80" s="47" t="inlineStr">
        <is>
          <t>Medium</t>
        </is>
      </c>
    </row>
    <row r="81" ht="23.85" customHeight="1" s="42">
      <c r="A81" s="44" t="inlineStr">
        <is>
          <t>I080</t>
        </is>
      </c>
      <c r="B81" s="47" t="inlineStr">
        <is>
          <t>Old electronic equipment (plate readers, power supplies)</t>
        </is>
      </c>
      <c r="C81" s="47" t="inlineStr">
        <is>
          <t>old equipment, electronics, instrument</t>
        </is>
      </c>
      <c r="D81" s="47" t="inlineStr">
        <is>
          <t>WEEE</t>
        </is>
      </c>
      <c r="E81" s="45">
        <f>INDEX(Categories!$B$2:$B$36,MATCH(D81,Categories!$A$2:$A$36,0))</f>
        <v/>
      </c>
      <c r="F81" s="45">
        <f>INDEX(Categories!$D$2:$D$36,MATCH(D81,Categories!$A$2:$A$36,0))</f>
        <v/>
      </c>
      <c r="G81" s="47" t="inlineStr">
        <is>
          <t>Decontaminate and tag as safe.</t>
        </is>
      </c>
      <c r="H81" s="47" t="n"/>
      <c r="I81" s="47" t="inlineStr">
        <is>
          <t>Not with general waste.</t>
        </is>
      </c>
      <c r="J81" s="47" t="inlineStr">
        <is>
          <t>Regulated electronic waste.</t>
        </is>
      </c>
      <c r="K81" s="47" t="inlineStr">
        <is>
          <t>High</t>
        </is>
      </c>
    </row>
    <row r="82" ht="15" customHeight="1" s="42">
      <c r="A82" s="44" t="inlineStr">
        <is>
          <t>I081</t>
        </is>
      </c>
      <c r="B82" s="47" t="inlineStr">
        <is>
          <t>Batteries (instrument, pipette controllers)</t>
        </is>
      </c>
      <c r="C82" s="47" t="inlineStr">
        <is>
          <t>battery, lithium, AA</t>
        </is>
      </c>
      <c r="D82" s="47" t="inlineStr">
        <is>
          <t>BATT</t>
        </is>
      </c>
      <c r="E82" s="45">
        <f>INDEX(Categories!$B$2:$B$36,MATCH(D82,Categories!$A$2:$A$36,0))</f>
        <v/>
      </c>
      <c r="F82" s="45">
        <f>INDEX(Categories!$D$2:$D$36,MATCH(D82,Categories!$A$2:$A$36,0))</f>
        <v/>
      </c>
      <c r="G82" s="47" t="inlineStr">
        <is>
          <t>Tape the terminals of lithium cells.</t>
        </is>
      </c>
      <c r="H82" s="47" t="n"/>
      <c r="I82" s="47" t="inlineStr">
        <is>
          <t>Not in general waste.</t>
        </is>
      </c>
      <c r="J82" s="47" t="inlineStr">
        <is>
          <t>Regulated and a fire risk.</t>
        </is>
      </c>
      <c r="K82" s="47" t="inlineStr">
        <is>
          <t>High</t>
        </is>
      </c>
    </row>
    <row r="83" ht="15" customHeight="1" s="42">
      <c r="A83" s="44" t="inlineStr">
        <is>
          <t>I082</t>
        </is>
      </c>
      <c r="B83" s="47" t="inlineStr">
        <is>
          <t>UV bulbs, fluorescent tubes, transilluminator lamps</t>
        </is>
      </c>
      <c r="C83" s="47" t="inlineStr">
        <is>
          <t>UV lamp, bulb, tube</t>
        </is>
      </c>
      <c r="D83" s="47" t="inlineStr">
        <is>
          <t>LAMP</t>
        </is>
      </c>
      <c r="E83" s="45">
        <f>INDEX(Categories!$B$2:$B$36,MATCH(D83,Categories!$A$2:$A$36,0))</f>
        <v/>
      </c>
      <c r="F83" s="45">
        <f>INDEX(Categories!$D$2:$D$36,MATCH(D83,Categories!$A$2:$A$36,0))</f>
        <v/>
      </c>
      <c r="G83" s="47" t="inlineStr">
        <is>
          <t>Handle carefully.</t>
        </is>
      </c>
      <c r="H83" s="47" t="inlineStr">
        <is>
          <t>TOXIC</t>
        </is>
      </c>
      <c r="I83" s="47" t="inlineStr">
        <is>
          <t>Not in general waste or glass.</t>
        </is>
      </c>
      <c r="J83" s="47" t="inlineStr">
        <is>
          <t>Often contains mercury.</t>
        </is>
      </c>
      <c r="K83" s="47" t="inlineStr">
        <is>
          <t>High</t>
        </is>
      </c>
    </row>
    <row r="84" ht="23.85" customHeight="1" s="42">
      <c r="A84" s="44" t="inlineStr">
        <is>
          <t>I083</t>
        </is>
      </c>
      <c r="B84" s="47" t="inlineStr">
        <is>
          <t>Gas cylinders (empty or unwanted)</t>
        </is>
      </c>
      <c r="C84" s="47" t="inlineStr">
        <is>
          <t>CO2 cylinder, nitrogen cylinder, argon, gas bottle</t>
        </is>
      </c>
      <c r="D84" s="47" t="inlineStr">
        <is>
          <t>CYL</t>
        </is>
      </c>
      <c r="E84" s="45">
        <f>INDEX(Categories!$B$2:$B$36,MATCH(D84,Categories!$A$2:$A$36,0))</f>
        <v/>
      </c>
      <c r="F84" s="45">
        <f>INDEX(Categories!$D$2:$D$36,MATCH(D84,Categories!$A$2:$A$36,0))</f>
        <v/>
      </c>
      <c r="G84" s="47" t="inlineStr">
        <is>
          <t>Close valve, cap, label empty or full.</t>
        </is>
      </c>
      <c r="H84" s="47" t="inlineStr">
        <is>
          <t>PRESSURISED</t>
        </is>
      </c>
      <c r="I84" s="47" t="inlineStr">
        <is>
          <t>Never dispose of locally.</t>
        </is>
      </c>
      <c r="J84" s="47" t="inlineStr">
        <is>
          <t>Return to supplier.</t>
        </is>
      </c>
      <c r="K84" s="47" t="inlineStr">
        <is>
          <t>High</t>
        </is>
      </c>
    </row>
    <row r="85" ht="23.85" customHeight="1" s="42">
      <c r="A85" s="44" t="inlineStr">
        <is>
          <t>I084</t>
        </is>
      </c>
      <c r="B85" s="47" t="inlineStr">
        <is>
          <t>Animal carcasses, bedding and in-vivo waste</t>
        </is>
      </c>
      <c r="C85" s="47" t="inlineStr">
        <is>
          <t>carcass, bedding, mouse waste</t>
        </is>
      </c>
      <c r="D85" s="47" t="inlineStr">
        <is>
          <t>ANI</t>
        </is>
      </c>
      <c r="E85" s="45">
        <f>INDEX(Categories!$B$2:$B$36,MATCH(D85,Categories!$A$2:$A$36,0))</f>
        <v/>
      </c>
      <c r="F85" s="45">
        <f>INDEX(Categories!$D$2:$D$36,MATCH(D85,Categories!$A$2:$A$36,0))</f>
        <v/>
      </c>
      <c r="G85" s="47" t="inlineStr">
        <is>
          <t>Escalate to the animal facility.</t>
        </is>
      </c>
      <c r="H85" s="47" t="inlineStr">
        <is>
          <t>BIOHAZARD</t>
        </is>
      </c>
      <c r="I85" s="47" t="inlineStr">
        <is>
          <t>Do not classify in this tool.</t>
        </is>
      </c>
      <c r="J85" s="47" t="inlineStr">
        <is>
          <t>Out of scope.</t>
        </is>
      </c>
      <c r="K85" s="47" t="inlineStr">
        <is>
          <t>High</t>
        </is>
      </c>
    </row>
    <row r="86" ht="23.85" customHeight="1" s="42">
      <c r="A86" s="44" t="inlineStr">
        <is>
          <t>I085</t>
        </is>
      </c>
      <c r="B86" s="47" t="inlineStr">
        <is>
          <t>Pathogens above containment level 2</t>
        </is>
      </c>
      <c r="C86" s="47" t="inlineStr">
        <is>
          <t>CL3, BSL3, high containment, unknown pathogen</t>
        </is>
      </c>
      <c r="D86" s="47" t="inlineStr">
        <is>
          <t>HICON</t>
        </is>
      </c>
      <c r="E86" s="45">
        <f>INDEX(Categories!$B$2:$B$36,MATCH(D86,Categories!$A$2:$A$36,0))</f>
        <v/>
      </c>
      <c r="F86" s="45">
        <f>INDEX(Categories!$D$2:$D$36,MATCH(D86,Categories!$A$2:$A$36,0))</f>
        <v/>
      </c>
      <c r="G86" s="47" t="inlineStr">
        <is>
          <t>Escalate to the containment facility.</t>
        </is>
      </c>
      <c r="H86" s="47" t="inlineStr">
        <is>
          <t>BIOHAZARD</t>
        </is>
      </c>
      <c r="I86" s="47" t="inlineStr">
        <is>
          <t>Do not classify in this tool.</t>
        </is>
      </c>
      <c r="J86" s="47" t="inlineStr">
        <is>
          <t>Out of scope.</t>
        </is>
      </c>
      <c r="K86" s="47" t="inlineStr">
        <is>
          <t>High</t>
        </is>
      </c>
    </row>
  </sheetData>
  <autoFilter ref="A1:K86"/>
  <dataValidations count="2">
    <dataValidation sqref="D2:D186" showDropDown="0" showInputMessage="0" showErrorMessage="0" allowBlank="0" type="list" errorStyle="stop" operator="between">
      <formula1>Categories!$A$2:$A$36</formula1>
      <formula2>0</formula2>
    </dataValidation>
    <dataValidation sqref="K2:K186" showDropDown="0" showInputMessage="0" showErrorMessage="0" allowBlank="0" type="list" errorStyle="stop" operator="between">
      <formula1>"High,Medium,Verify locally"</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41" min="1" max="1"/>
    <col width="16" customWidth="1" style="41" min="2" max="3"/>
    <col width="60" customWidth="1" style="41" min="4" max="4"/>
    <col width="56" customWidth="1" style="41" min="5" max="5"/>
    <col width="14" customWidth="1" style="41" min="6" max="6"/>
  </cols>
  <sheetData>
    <row r="1" ht="30" customHeight="1" s="42">
      <c r="A1" s="46" t="inlineStr">
        <is>
          <t>Rule ID</t>
        </is>
      </c>
      <c r="B1" s="46" t="inlineStr">
        <is>
          <t>Flag A</t>
        </is>
      </c>
      <c r="C1" s="46" t="inlineStr">
        <is>
          <t>Flag B</t>
        </is>
      </c>
      <c r="D1" s="46" t="inlineStr">
        <is>
          <t>Hazard</t>
        </is>
      </c>
      <c r="E1" s="46" t="inlineStr">
        <is>
          <t>Rule for the app</t>
        </is>
      </c>
      <c r="F1" s="46" t="inlineStr">
        <is>
          <t>Severity</t>
        </is>
      </c>
    </row>
    <row r="2" ht="15" customHeight="1" s="42">
      <c r="A2" s="44" t="inlineStr">
        <is>
          <t>R01</t>
        </is>
      </c>
      <c r="B2" s="47" t="inlineStr">
        <is>
          <t>BLEACH</t>
        </is>
      </c>
      <c r="C2" s="47" t="inlineStr">
        <is>
          <t>ACID</t>
        </is>
      </c>
      <c r="D2" s="47" t="inlineStr">
        <is>
          <t>Releases chlorine gas</t>
        </is>
      </c>
      <c r="E2" s="47" t="inlineStr">
        <is>
          <t>Block: never place in the same container or treat together.</t>
        </is>
      </c>
      <c r="F2" s="47" t="inlineStr">
        <is>
          <t>Critical</t>
        </is>
      </c>
    </row>
    <row r="3" ht="15" customHeight="1" s="42">
      <c r="A3" s="44" t="inlineStr">
        <is>
          <t>R02</t>
        </is>
      </c>
      <c r="B3" s="47" t="inlineStr">
        <is>
          <t>BLEACH</t>
        </is>
      </c>
      <c r="C3" s="47" t="inlineStr">
        <is>
          <t>AMMONIA</t>
        </is>
      </c>
      <c r="D3" s="47" t="inlineStr">
        <is>
          <t>Forms toxic chloramine vapours (includes ammonium salts and urea)</t>
        </is>
      </c>
      <c r="E3" s="47" t="inlineStr">
        <is>
          <t>Block.</t>
        </is>
      </c>
      <c r="F3" s="47" t="inlineStr">
        <is>
          <t>Critical</t>
        </is>
      </c>
    </row>
    <row r="4" ht="15" customHeight="1" s="42">
      <c r="A4" s="44" t="inlineStr">
        <is>
          <t>R03</t>
        </is>
      </c>
      <c r="B4" s="47" t="inlineStr">
        <is>
          <t>BLEACH</t>
        </is>
      </c>
      <c r="C4" s="47" t="inlineStr">
        <is>
          <t>GUANIDINE</t>
        </is>
      </c>
      <c r="D4" s="47" t="inlineStr">
        <is>
          <t>Releases toxic gases when guanidinium salts meet hypochlorite</t>
        </is>
      </c>
      <c r="E4" s="47" t="inlineStr">
        <is>
          <t>Block. Do not use bleach on lysis-buffer waste.</t>
        </is>
      </c>
      <c r="F4" s="47" t="inlineStr">
        <is>
          <t>Critical</t>
        </is>
      </c>
    </row>
    <row r="5" ht="15" customHeight="1" s="42">
      <c r="A5" s="44" t="inlineStr">
        <is>
          <t>R04</t>
        </is>
      </c>
      <c r="B5" s="47" t="inlineStr">
        <is>
          <t>BLEACH</t>
        </is>
      </c>
      <c r="C5" s="47" t="inlineStr">
        <is>
          <t>FORMALDEHYDE</t>
        </is>
      </c>
      <c r="D5" s="47" t="inlineStr">
        <is>
          <t>Hazardous chlorinated by-products</t>
        </is>
      </c>
      <c r="E5" s="47" t="inlineStr">
        <is>
          <t>Block.</t>
        </is>
      </c>
      <c r="F5" s="47" t="inlineStr">
        <is>
          <t>High</t>
        </is>
      </c>
    </row>
    <row r="6" ht="15" customHeight="1" s="42">
      <c r="A6" s="44" t="inlineStr">
        <is>
          <t>R05</t>
        </is>
      </c>
      <c r="B6" s="47" t="inlineStr">
        <is>
          <t>BLEACH</t>
        </is>
      </c>
      <c r="C6" s="47" t="inlineStr">
        <is>
          <t>ORGANIC</t>
        </is>
      </c>
      <c r="D6" s="47" t="inlineStr">
        <is>
          <t>Reactive and toxic chlorinated by-products (e.g. with acetone or alcohols)</t>
        </is>
      </c>
      <c r="E6" s="47" t="inlineStr">
        <is>
          <t>Block. Do not add bleach to solvent-containing waste.</t>
        </is>
      </c>
      <c r="F6" s="47" t="inlineStr">
        <is>
          <t>High</t>
        </is>
      </c>
    </row>
    <row r="7" ht="15" customHeight="1" s="42">
      <c r="A7" s="44" t="inlineStr">
        <is>
          <t>R06</t>
        </is>
      </c>
      <c r="B7" s="47" t="inlineStr">
        <is>
          <t>AZIDE</t>
        </is>
      </c>
      <c r="C7" s="47" t="inlineStr">
        <is>
          <t>ACID</t>
        </is>
      </c>
      <c r="D7" s="47" t="inlineStr">
        <is>
          <t>Forms hydrazoic acid, a toxic and explosive gas</t>
        </is>
      </c>
      <c r="E7" s="47" t="inlineStr">
        <is>
          <t>Block.</t>
        </is>
      </c>
      <c r="F7" s="47" t="inlineStr">
        <is>
          <t>Critical</t>
        </is>
      </c>
    </row>
    <row r="8" ht="15" customHeight="1" s="42">
      <c r="A8" s="44" t="inlineStr">
        <is>
          <t>R07</t>
        </is>
      </c>
      <c r="B8" s="47" t="inlineStr">
        <is>
          <t>OXIDISER</t>
        </is>
      </c>
      <c r="C8" s="47" t="inlineStr">
        <is>
          <t>ORGANIC</t>
        </is>
      </c>
      <c r="D8" s="47" t="inlineStr">
        <is>
          <t>Fire or explosion risk</t>
        </is>
      </c>
      <c r="E8" s="47" t="inlineStr">
        <is>
          <t>Block.</t>
        </is>
      </c>
      <c r="F8" s="47" t="inlineStr">
        <is>
          <t>Critical</t>
        </is>
      </c>
    </row>
    <row r="9" ht="15" customHeight="1" s="42">
      <c r="A9" s="44" t="inlineStr">
        <is>
          <t>R08</t>
        </is>
      </c>
      <c r="B9" s="47" t="inlineStr">
        <is>
          <t>ACID</t>
        </is>
      </c>
      <c r="C9" s="47" t="inlineStr">
        <is>
          <t>BASE</t>
        </is>
      </c>
      <c r="D9" s="47" t="inlineStr">
        <is>
          <t>Violent exothermic reaction</t>
        </is>
      </c>
      <c r="E9" s="47" t="inlineStr">
        <is>
          <t>Block unless a neutralisation SOP applies.</t>
        </is>
      </c>
      <c r="F9" s="47" t="inlineStr">
        <is>
          <t>High</t>
        </is>
      </c>
    </row>
    <row r="10" ht="15" customHeight="1" s="42">
      <c r="A10" s="44" t="inlineStr">
        <is>
          <t>R09</t>
        </is>
      </c>
      <c r="B10" s="47" t="inlineStr">
        <is>
          <t>HALOGENATED</t>
        </is>
      </c>
      <c r="C10" s="47" t="inlineStr">
        <is>
          <t>NONHAL</t>
        </is>
      </c>
      <c r="D10" s="47" t="inlineStr">
        <is>
          <t>Different disposal routes; mixing raises cost and risk</t>
        </is>
      </c>
      <c r="E10" s="47" t="inlineStr">
        <is>
          <t>Warn: keep in separate carboys.</t>
        </is>
      </c>
      <c r="F10" s="47" t="inlineStr">
        <is>
          <t>Segregation</t>
        </is>
      </c>
    </row>
    <row r="11" ht="15" customHeight="1" s="42">
      <c r="A11" s="44" t="inlineStr">
        <is>
          <t>R10</t>
        </is>
      </c>
      <c r="B11" s="47" t="inlineStr">
        <is>
          <t>CYTOTOXIC</t>
        </is>
      </c>
      <c r="C11" s="47" t="inlineStr">
        <is>
          <t>ANY</t>
        </is>
      </c>
      <c r="D11" s="47" t="inlineStr">
        <is>
          <t>Cytotoxic waste must stay in its own stream</t>
        </is>
      </c>
      <c r="E11" s="47" t="inlineStr">
        <is>
          <t>Block mixing with anything.</t>
        </is>
      </c>
      <c r="F11" s="47" t="inlineStr">
        <is>
          <t>Segregation</t>
        </is>
      </c>
    </row>
    <row r="12" ht="15" customHeight="1" s="42">
      <c r="A12" s="44" t="inlineStr">
        <is>
          <t>R11</t>
        </is>
      </c>
      <c r="B12" s="47" t="inlineStr">
        <is>
          <t>CMR</t>
        </is>
      </c>
      <c r="C12" s="47" t="inlineStr">
        <is>
          <t>ANY</t>
        </is>
      </c>
      <c r="D12" s="47" t="inlineStr">
        <is>
          <t>CMR agents must not enter general chemical, biological or drain streams</t>
        </is>
      </c>
      <c r="E12" s="47" t="inlineStr">
        <is>
          <t>Block mixing with anything outside CMR streams.</t>
        </is>
      </c>
      <c r="F12" s="47" t="inlineStr">
        <is>
          <t>Segregation</t>
        </is>
      </c>
    </row>
    <row r="13" ht="23.85" customHeight="1" s="42">
      <c r="A13" s="44" t="inlineStr">
        <is>
          <t>R12</t>
        </is>
      </c>
      <c r="B13" s="47" t="inlineStr">
        <is>
          <t>WATER_REACTIVE</t>
        </is>
      </c>
      <c r="C13" s="47" t="inlineStr">
        <is>
          <t>ANY</t>
        </is>
      </c>
      <c r="D13" s="47" t="inlineStr">
        <is>
          <t>Reacts violently or exothermically with water, alcohols and many other wastes</t>
        </is>
      </c>
      <c r="E13" s="47" t="inlineStr">
        <is>
          <t>Block mixing with anything; own container.</t>
        </is>
      </c>
      <c r="F13" s="47" t="inlineStr">
        <is>
          <t>Critical</t>
        </is>
      </c>
    </row>
    <row r="14" ht="23.85" customHeight="1" s="42">
      <c r="A14" s="44" t="inlineStr">
        <is>
          <t>R13</t>
        </is>
      </c>
      <c r="B14" s="47" t="inlineStr">
        <is>
          <t>PEROXIDE_FORMER</t>
        </is>
      </c>
      <c r="C14" s="47" t="inlineStr">
        <is>
          <t>ANY</t>
        </is>
      </c>
      <c r="D14" s="47" t="inlineStr">
        <is>
          <t>Peroxides can detonate on contact with other waste or when disturbed</t>
        </is>
      </c>
      <c r="E14" s="47" t="inlineStr">
        <is>
          <t>Block mixing; escalate to the safety officer.</t>
        </is>
      </c>
      <c r="F14" s="47" t="inlineStr">
        <is>
          <t>Critical</t>
        </is>
      </c>
    </row>
    <row r="15" ht="15" customHeight="1" s="42">
      <c r="A15" s="44" t="inlineStr">
        <is>
          <t>R14</t>
        </is>
      </c>
      <c r="B15" s="47" t="inlineStr">
        <is>
          <t>AZIDE</t>
        </is>
      </c>
      <c r="C15" s="47" t="inlineStr">
        <is>
          <t>HEAVY_METAL</t>
        </is>
      </c>
      <c r="D15" s="47" t="inlineStr">
        <is>
          <t>Forms shock-sensitive heavy-metal azides</t>
        </is>
      </c>
      <c r="E15" s="47" t="inlineStr">
        <is>
          <t>Block.</t>
        </is>
      </c>
      <c r="F15" s="47" t="inlineStr">
        <is>
          <t>Critical</t>
        </is>
      </c>
    </row>
    <row r="16" ht="15" customHeight="1" s="42">
      <c r="A16" s="44" t="inlineStr">
        <is>
          <t>R15</t>
        </is>
      </c>
      <c r="B16" s="47" t="inlineStr">
        <is>
          <t>EXPLOSIVE</t>
        </is>
      </c>
      <c r="C16" s="47" t="inlineStr">
        <is>
          <t>ANY</t>
        </is>
      </c>
      <c r="D16" s="47" t="inlineStr">
        <is>
          <t>Shock-sensitive material</t>
        </is>
      </c>
      <c r="E16" s="47" t="inlineStr">
        <is>
          <t>Block handling and mixing; escalate.</t>
        </is>
      </c>
      <c r="F16" s="47" t="inlineStr">
        <is>
          <t>Critical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6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41" min="1" max="1"/>
    <col width="26" customWidth="1" style="41" min="2" max="2"/>
    <col width="9" customWidth="1" style="41" min="3" max="3"/>
    <col width="56" customWidth="1" style="41" min="4" max="4"/>
    <col width="13" customWidth="1" style="41" min="5" max="5"/>
    <col width="34" customWidth="1" style="41" min="6" max="6"/>
  </cols>
  <sheetData>
    <row r="1" ht="30" customHeight="1" s="42">
      <c r="A1" s="46" t="inlineStr">
        <is>
          <t>Workflow</t>
        </is>
      </c>
      <c r="B1" s="46" t="inlineStr">
        <is>
          <t>Stage</t>
        </is>
      </c>
      <c r="C1" s="46" t="inlineStr">
        <is>
          <t>Item ID</t>
        </is>
      </c>
      <c r="D1" s="46" t="inlineStr">
        <is>
          <t>Item</t>
        </is>
      </c>
      <c r="E1" s="46" t="inlineStr">
        <is>
          <t>Category ID</t>
        </is>
      </c>
      <c r="F1" s="46" t="inlineStr">
        <is>
          <t>Container</t>
        </is>
      </c>
    </row>
    <row r="2" ht="15" customHeight="1" s="42">
      <c r="A2" s="47" t="inlineStr">
        <is>
          <t>Western blot / SDS-PAGE</t>
        </is>
      </c>
      <c r="B2" s="47" t="inlineStr">
        <is>
          <t>Sample prep</t>
        </is>
      </c>
      <c r="C2" s="47" t="inlineStr">
        <is>
          <t>I030</t>
        </is>
      </c>
      <c r="D2" s="45">
        <f>INDEX(Items!$B$2:$B$86,MATCH(C2,Items!$A$2:$A$86,0))</f>
        <v/>
      </c>
      <c r="E2" s="45">
        <f>INDEX(Items!$D$2:$D$86,MATCH(C2,Items!$A$2:$A$86,0))</f>
        <v/>
      </c>
      <c r="F2" s="45">
        <f>INDEX(Categories!$D$2:$D$36,MATCH(E2,Categories!$A$2:$A$36,0))</f>
        <v/>
      </c>
    </row>
    <row r="3" ht="23.85" customHeight="1" s="42">
      <c r="A3" s="47" t="inlineStr">
        <is>
          <t>Western blot / SDS-PAGE</t>
        </is>
      </c>
      <c r="B3" s="47" t="inlineStr">
        <is>
          <t>Sample prep</t>
        </is>
      </c>
      <c r="C3" s="47" t="inlineStr">
        <is>
          <t>I010</t>
        </is>
      </c>
      <c r="D3" s="45">
        <f>INDEX(Items!$B$2:$B$86,MATCH(C3,Items!$A$2:$A$86,0))</f>
        <v/>
      </c>
      <c r="E3" s="45">
        <f>INDEX(Items!$D$2:$D$86,MATCH(C3,Items!$A$2:$A$86,0))</f>
        <v/>
      </c>
      <c r="F3" s="45">
        <f>INDEX(Categories!$D$2:$D$36,MATCH(E3,Categories!$A$2:$A$36,0))</f>
        <v/>
      </c>
    </row>
    <row r="4" ht="23.85" customHeight="1" s="42">
      <c r="A4" s="47" t="inlineStr">
        <is>
          <t>Western blot / SDS-PAGE</t>
        </is>
      </c>
      <c r="B4" s="47" t="inlineStr">
        <is>
          <t>Sample prep</t>
        </is>
      </c>
      <c r="C4" s="47" t="inlineStr">
        <is>
          <t>I011</t>
        </is>
      </c>
      <c r="D4" s="45">
        <f>INDEX(Items!$B$2:$B$86,MATCH(C4,Items!$A$2:$A$86,0))</f>
        <v/>
      </c>
      <c r="E4" s="45">
        <f>INDEX(Items!$D$2:$D$86,MATCH(C4,Items!$A$2:$A$86,0))</f>
        <v/>
      </c>
      <c r="F4" s="45">
        <f>INDEX(Categories!$D$2:$D$36,MATCH(E4,Categories!$A$2:$A$36,0))</f>
        <v/>
      </c>
    </row>
    <row r="5" ht="23.85" customHeight="1" s="42">
      <c r="A5" s="47" t="inlineStr">
        <is>
          <t>Western blot / SDS-PAGE</t>
        </is>
      </c>
      <c r="B5" s="47" t="inlineStr">
        <is>
          <t>Gel casting</t>
        </is>
      </c>
      <c r="C5" s="47" t="inlineStr">
        <is>
          <t>I022</t>
        </is>
      </c>
      <c r="D5" s="45">
        <f>INDEX(Items!$B$2:$B$86,MATCH(C5,Items!$A$2:$A$86,0))</f>
        <v/>
      </c>
      <c r="E5" s="45">
        <f>INDEX(Items!$D$2:$D$86,MATCH(C5,Items!$A$2:$A$86,0))</f>
        <v/>
      </c>
      <c r="F5" s="45">
        <f>INDEX(Categories!$D$2:$D$36,MATCH(E5,Categories!$A$2:$A$36,0))</f>
        <v/>
      </c>
    </row>
    <row r="6" ht="23.85" customHeight="1" s="42">
      <c r="A6" s="47" t="inlineStr">
        <is>
          <t>Western blot / SDS-PAGE</t>
        </is>
      </c>
      <c r="B6" s="47" t="inlineStr">
        <is>
          <t>Electrophoresis</t>
        </is>
      </c>
      <c r="C6" s="47" t="inlineStr">
        <is>
          <t>I021</t>
        </is>
      </c>
      <c r="D6" s="45">
        <f>INDEX(Items!$B$2:$B$86,MATCH(C6,Items!$A$2:$A$86,0))</f>
        <v/>
      </c>
      <c r="E6" s="45">
        <f>INDEX(Items!$D$2:$D$86,MATCH(C6,Items!$A$2:$A$86,0))</f>
        <v/>
      </c>
      <c r="F6" s="45">
        <f>INDEX(Categories!$D$2:$D$36,MATCH(E6,Categories!$A$2:$A$36,0))</f>
        <v/>
      </c>
    </row>
    <row r="7" ht="15" customHeight="1" s="42">
      <c r="A7" s="47" t="inlineStr">
        <is>
          <t>Western blot / SDS-PAGE</t>
        </is>
      </c>
      <c r="B7" s="47" t="inlineStr">
        <is>
          <t>Electrophoresis</t>
        </is>
      </c>
      <c r="C7" s="47" t="inlineStr">
        <is>
          <t>I023</t>
        </is>
      </c>
      <c r="D7" s="45">
        <f>INDEX(Items!$B$2:$B$86,MATCH(C7,Items!$A$2:$A$86,0))</f>
        <v/>
      </c>
      <c r="E7" s="45">
        <f>INDEX(Items!$D$2:$D$86,MATCH(C7,Items!$A$2:$A$86,0))</f>
        <v/>
      </c>
      <c r="F7" s="45">
        <f>INDEX(Categories!$D$2:$D$36,MATCH(E7,Categories!$A$2:$A$36,0))</f>
        <v/>
      </c>
    </row>
    <row r="8" ht="15" customHeight="1" s="42">
      <c r="A8" s="47" t="inlineStr">
        <is>
          <t>Western blot / SDS-PAGE</t>
        </is>
      </c>
      <c r="B8" s="47" t="inlineStr">
        <is>
          <t>Transfer</t>
        </is>
      </c>
      <c r="C8" s="47" t="inlineStr">
        <is>
          <t>I024</t>
        </is>
      </c>
      <c r="D8" s="45">
        <f>INDEX(Items!$B$2:$B$86,MATCH(C8,Items!$A$2:$A$86,0))</f>
        <v/>
      </c>
      <c r="E8" s="45">
        <f>INDEX(Items!$D$2:$D$86,MATCH(C8,Items!$A$2:$A$86,0))</f>
        <v/>
      </c>
      <c r="F8" s="45">
        <f>INDEX(Categories!$D$2:$D$36,MATCH(E8,Categories!$A$2:$A$36,0))</f>
        <v/>
      </c>
    </row>
    <row r="9" ht="15" customHeight="1" s="42">
      <c r="A9" s="47" t="inlineStr">
        <is>
          <t>Western blot / SDS-PAGE</t>
        </is>
      </c>
      <c r="B9" s="47" t="inlineStr">
        <is>
          <t>Blocking and washes</t>
        </is>
      </c>
      <c r="C9" s="47" t="inlineStr">
        <is>
          <t>I025</t>
        </is>
      </c>
      <c r="D9" s="45">
        <f>INDEX(Items!$B$2:$B$86,MATCH(C9,Items!$A$2:$A$86,0))</f>
        <v/>
      </c>
      <c r="E9" s="45">
        <f>INDEX(Items!$D$2:$D$86,MATCH(C9,Items!$A$2:$A$86,0))</f>
        <v/>
      </c>
      <c r="F9" s="45">
        <f>INDEX(Categories!$D$2:$D$36,MATCH(E9,Categories!$A$2:$A$36,0))</f>
        <v/>
      </c>
    </row>
    <row r="10" ht="15" customHeight="1" s="42">
      <c r="A10" s="47" t="inlineStr">
        <is>
          <t>Western blot / SDS-PAGE</t>
        </is>
      </c>
      <c r="B10" s="47" t="inlineStr">
        <is>
          <t>Antibody incubation</t>
        </is>
      </c>
      <c r="C10" s="47" t="inlineStr">
        <is>
          <t>I026</t>
        </is>
      </c>
      <c r="D10" s="45">
        <f>INDEX(Items!$B$2:$B$86,MATCH(C10,Items!$A$2:$A$86,0))</f>
        <v/>
      </c>
      <c r="E10" s="45">
        <f>INDEX(Items!$D$2:$D$86,MATCH(C10,Items!$A$2:$A$86,0))</f>
        <v/>
      </c>
      <c r="F10" s="45">
        <f>INDEX(Categories!$D$2:$D$36,MATCH(E10,Categories!$A$2:$A$36,0))</f>
        <v/>
      </c>
    </row>
    <row r="11" ht="15" customHeight="1" s="42">
      <c r="A11" s="47" t="inlineStr">
        <is>
          <t>Western blot / SDS-PAGE</t>
        </is>
      </c>
      <c r="B11" s="47" t="inlineStr">
        <is>
          <t>Detection</t>
        </is>
      </c>
      <c r="C11" s="47" t="inlineStr">
        <is>
          <t>I028</t>
        </is>
      </c>
      <c r="D11" s="45">
        <f>INDEX(Items!$B$2:$B$86,MATCH(C11,Items!$A$2:$A$86,0))</f>
        <v/>
      </c>
      <c r="E11" s="45">
        <f>INDEX(Items!$D$2:$D$86,MATCH(C11,Items!$A$2:$A$86,0))</f>
        <v/>
      </c>
      <c r="F11" s="45">
        <f>INDEX(Categories!$D$2:$D$36,MATCH(E11,Categories!$A$2:$A$36,0))</f>
        <v/>
      </c>
    </row>
    <row r="12" ht="23.85" customHeight="1" s="42">
      <c r="A12" s="47" t="inlineStr">
        <is>
          <t>Western blot / SDS-PAGE</t>
        </is>
      </c>
      <c r="B12" s="47" t="inlineStr">
        <is>
          <t>Detection</t>
        </is>
      </c>
      <c r="C12" s="47" t="inlineStr">
        <is>
          <t>I027</t>
        </is>
      </c>
      <c r="D12" s="45">
        <f>INDEX(Items!$B$2:$B$86,MATCH(C12,Items!$A$2:$A$86,0))</f>
        <v/>
      </c>
      <c r="E12" s="45">
        <f>INDEX(Items!$D$2:$D$86,MATCH(C12,Items!$A$2:$A$86,0))</f>
        <v/>
      </c>
      <c r="F12" s="45">
        <f>INDEX(Categories!$D$2:$D$36,MATCH(E12,Categories!$A$2:$A$36,0))</f>
        <v/>
      </c>
    </row>
    <row r="13" ht="15" customHeight="1" s="42">
      <c r="A13" s="47" t="inlineStr">
        <is>
          <t>Western blot / SDS-PAGE</t>
        </is>
      </c>
      <c r="B13" s="47" t="inlineStr">
        <is>
          <t>Staining</t>
        </is>
      </c>
      <c r="C13" s="47" t="inlineStr">
        <is>
          <t>I029</t>
        </is>
      </c>
      <c r="D13" s="45">
        <f>INDEX(Items!$B$2:$B$86,MATCH(C13,Items!$A$2:$A$86,0))</f>
        <v/>
      </c>
      <c r="E13" s="45">
        <f>INDEX(Items!$D$2:$D$86,MATCH(C13,Items!$A$2:$A$86,0))</f>
        <v/>
      </c>
      <c r="F13" s="45">
        <f>INDEX(Categories!$D$2:$D$36,MATCH(E13,Categories!$A$2:$A$36,0))</f>
        <v/>
      </c>
    </row>
    <row r="14" ht="15" customHeight="1" s="42">
      <c r="A14" s="47" t="inlineStr">
        <is>
          <t>Agarose gel electrophoresis</t>
        </is>
      </c>
      <c r="B14" s="47" t="inlineStr">
        <is>
          <t>Gel casting and running</t>
        </is>
      </c>
      <c r="C14" s="47" t="inlineStr">
        <is>
          <t>I031</t>
        </is>
      </c>
      <c r="D14" s="45">
        <f>INDEX(Items!$B$2:$B$86,MATCH(C14,Items!$A$2:$A$86,0))</f>
        <v/>
      </c>
      <c r="E14" s="45">
        <f>INDEX(Items!$D$2:$D$86,MATCH(C14,Items!$A$2:$A$86,0))</f>
        <v/>
      </c>
      <c r="F14" s="45">
        <f>INDEX(Categories!$D$2:$D$36,MATCH(E14,Categories!$A$2:$A$36,0))</f>
        <v/>
      </c>
    </row>
    <row r="15" ht="23.85" customHeight="1" s="42">
      <c r="A15" s="47" t="inlineStr">
        <is>
          <t>Agarose gel electrophoresis</t>
        </is>
      </c>
      <c r="B15" s="47" t="inlineStr">
        <is>
          <t>Gel casting and running</t>
        </is>
      </c>
      <c r="C15" s="47" t="inlineStr">
        <is>
          <t>I032</t>
        </is>
      </c>
      <c r="D15" s="45">
        <f>INDEX(Items!$B$2:$B$86,MATCH(C15,Items!$A$2:$A$86,0))</f>
        <v/>
      </c>
      <c r="E15" s="45">
        <f>INDEX(Items!$D$2:$D$86,MATCH(C15,Items!$A$2:$A$86,0))</f>
        <v/>
      </c>
      <c r="F15" s="45">
        <f>INDEX(Categories!$D$2:$D$36,MATCH(E15,Categories!$A$2:$A$36,0))</f>
        <v/>
      </c>
    </row>
    <row r="16" ht="23.85" customHeight="1" s="42">
      <c r="A16" s="47" t="inlineStr">
        <is>
          <t>Agarose gel electrophoresis</t>
        </is>
      </c>
      <c r="B16" s="47" t="inlineStr">
        <is>
          <t>Gel casting and running</t>
        </is>
      </c>
      <c r="C16" s="47" t="inlineStr">
        <is>
          <t>I033</t>
        </is>
      </c>
      <c r="D16" s="45">
        <f>INDEX(Items!$B$2:$B$86,MATCH(C16,Items!$A$2:$A$86,0))</f>
        <v/>
      </c>
      <c r="E16" s="45">
        <f>INDEX(Items!$D$2:$D$86,MATCH(C16,Items!$A$2:$A$86,0))</f>
        <v/>
      </c>
      <c r="F16" s="45">
        <f>INDEX(Categories!$D$2:$D$36,MATCH(E16,Categories!$A$2:$A$36,0))</f>
        <v/>
      </c>
    </row>
    <row r="17" ht="23.85" customHeight="1" s="42">
      <c r="A17" s="47" t="inlineStr">
        <is>
          <t>Agarose gel electrophoresis</t>
        </is>
      </c>
      <c r="B17" s="47" t="inlineStr">
        <is>
          <t>Gel casting and running</t>
        </is>
      </c>
      <c r="C17" s="47" t="inlineStr">
        <is>
          <t>I034</t>
        </is>
      </c>
      <c r="D17" s="45">
        <f>INDEX(Items!$B$2:$B$86,MATCH(C17,Items!$A$2:$A$86,0))</f>
        <v/>
      </c>
      <c r="E17" s="45">
        <f>INDEX(Items!$D$2:$D$86,MATCH(C17,Items!$A$2:$A$86,0))</f>
        <v/>
      </c>
      <c r="F17" s="45">
        <f>INDEX(Categories!$D$2:$D$36,MATCH(E17,Categories!$A$2:$A$36,0))</f>
        <v/>
      </c>
    </row>
    <row r="18" ht="15" customHeight="1" s="42">
      <c r="A18" s="47" t="inlineStr">
        <is>
          <t>Agarose gel electrophoresis</t>
        </is>
      </c>
      <c r="B18" s="47" t="inlineStr">
        <is>
          <t>Gel casting and running</t>
        </is>
      </c>
      <c r="C18" s="47" t="inlineStr">
        <is>
          <t>I035</t>
        </is>
      </c>
      <c r="D18" s="45">
        <f>INDEX(Items!$B$2:$B$86,MATCH(C18,Items!$A$2:$A$86,0))</f>
        <v/>
      </c>
      <c r="E18" s="45">
        <f>INDEX(Items!$D$2:$D$86,MATCH(C18,Items!$A$2:$A$86,0))</f>
        <v/>
      </c>
      <c r="F18" s="45">
        <f>INDEX(Categories!$D$2:$D$36,MATCH(E18,Categories!$A$2:$A$36,0))</f>
        <v/>
      </c>
    </row>
    <row r="19" ht="23.85" customHeight="1" s="42">
      <c r="A19" s="47" t="inlineStr">
        <is>
          <t>Agarose gel electrophoresis</t>
        </is>
      </c>
      <c r="B19" s="47" t="inlineStr">
        <is>
          <t>Band excision</t>
        </is>
      </c>
      <c r="C19" s="47" t="inlineStr">
        <is>
          <t>I020</t>
        </is>
      </c>
      <c r="D19" s="45">
        <f>INDEX(Items!$B$2:$B$86,MATCH(C19,Items!$A$2:$A$86,0))</f>
        <v/>
      </c>
      <c r="E19" s="45">
        <f>INDEX(Items!$D$2:$D$86,MATCH(C19,Items!$A$2:$A$86,0))</f>
        <v/>
      </c>
      <c r="F19" s="45">
        <f>INDEX(Categories!$D$2:$D$36,MATCH(E19,Categories!$A$2:$A$36,0))</f>
        <v/>
      </c>
    </row>
    <row r="20" ht="15" customHeight="1" s="42">
      <c r="A20" s="47" t="inlineStr">
        <is>
          <t>Mammalian cell culture (routine)</t>
        </is>
      </c>
      <c r="B20" s="47" t="inlineStr">
        <is>
          <t>Feeding and passaging</t>
        </is>
      </c>
      <c r="C20" s="47" t="inlineStr">
        <is>
          <t>I013</t>
        </is>
      </c>
      <c r="D20" s="45">
        <f>INDEX(Items!$B$2:$B$86,MATCH(C20,Items!$A$2:$A$86,0))</f>
        <v/>
      </c>
      <c r="E20" s="45">
        <f>INDEX(Items!$D$2:$D$86,MATCH(C20,Items!$A$2:$A$86,0))</f>
        <v/>
      </c>
      <c r="F20" s="45">
        <f>INDEX(Categories!$D$2:$D$36,MATCH(E20,Categories!$A$2:$A$36,0))</f>
        <v/>
      </c>
    </row>
    <row r="21" ht="23.85" customHeight="1" s="42">
      <c r="A21" s="47" t="inlineStr">
        <is>
          <t>Mammalian cell culture (routine)</t>
        </is>
      </c>
      <c r="B21" s="47" t="inlineStr">
        <is>
          <t>Feeding and passaging</t>
        </is>
      </c>
      <c r="C21" s="47" t="inlineStr">
        <is>
          <t>I008</t>
        </is>
      </c>
      <c r="D21" s="45">
        <f>INDEX(Items!$B$2:$B$86,MATCH(C21,Items!$A$2:$A$86,0))</f>
        <v/>
      </c>
      <c r="E21" s="45">
        <f>INDEX(Items!$D$2:$D$86,MATCH(C21,Items!$A$2:$A$86,0))</f>
        <v/>
      </c>
      <c r="F21" s="45">
        <f>INDEX(Categories!$D$2:$D$36,MATCH(E21,Categories!$A$2:$A$36,0))</f>
        <v/>
      </c>
    </row>
    <row r="22" ht="23.85" customHeight="1" s="42">
      <c r="A22" s="47" t="inlineStr">
        <is>
          <t>Mammalian cell culture (routine)</t>
        </is>
      </c>
      <c r="B22" s="47" t="inlineStr">
        <is>
          <t>Feeding and passaging</t>
        </is>
      </c>
      <c r="C22" s="47" t="inlineStr">
        <is>
          <t>I009</t>
        </is>
      </c>
      <c r="D22" s="45">
        <f>INDEX(Items!$B$2:$B$86,MATCH(C22,Items!$A$2:$A$86,0))</f>
        <v/>
      </c>
      <c r="E22" s="45">
        <f>INDEX(Items!$D$2:$D$86,MATCH(C22,Items!$A$2:$A$86,0))</f>
        <v/>
      </c>
      <c r="F22" s="45">
        <f>INDEX(Categories!$D$2:$D$36,MATCH(E22,Categories!$A$2:$A$36,0))</f>
        <v/>
      </c>
    </row>
    <row r="23" ht="23.85" customHeight="1" s="42">
      <c r="A23" s="47" t="inlineStr">
        <is>
          <t>Mammalian cell culture (routine)</t>
        </is>
      </c>
      <c r="B23" s="47" t="inlineStr">
        <is>
          <t>Feeding and passaging</t>
        </is>
      </c>
      <c r="C23" s="47" t="inlineStr">
        <is>
          <t>I010</t>
        </is>
      </c>
      <c r="D23" s="45">
        <f>INDEX(Items!$B$2:$B$86,MATCH(C23,Items!$A$2:$A$86,0))</f>
        <v/>
      </c>
      <c r="E23" s="45">
        <f>INDEX(Items!$D$2:$D$86,MATCH(C23,Items!$A$2:$A$86,0))</f>
        <v/>
      </c>
      <c r="F23" s="45">
        <f>INDEX(Categories!$D$2:$D$36,MATCH(E23,Categories!$A$2:$A$36,0))</f>
        <v/>
      </c>
    </row>
    <row r="24" ht="23.85" customHeight="1" s="42">
      <c r="A24" s="47" t="inlineStr">
        <is>
          <t>Mammalian cell culture (routine)</t>
        </is>
      </c>
      <c r="B24" s="47" t="inlineStr">
        <is>
          <t>Counting</t>
        </is>
      </c>
      <c r="C24" s="47" t="inlineStr">
        <is>
          <t>I056</t>
        </is>
      </c>
      <c r="D24" s="45">
        <f>INDEX(Items!$B$2:$B$86,MATCH(C24,Items!$A$2:$A$86,0))</f>
        <v/>
      </c>
      <c r="E24" s="45">
        <f>INDEX(Items!$D$2:$D$86,MATCH(C24,Items!$A$2:$A$86,0))</f>
        <v/>
      </c>
      <c r="F24" s="45">
        <f>INDEX(Categories!$D$2:$D$36,MATCH(E24,Categories!$A$2:$A$36,0))</f>
        <v/>
      </c>
    </row>
    <row r="25" ht="15" customHeight="1" s="42">
      <c r="A25" s="47" t="inlineStr">
        <is>
          <t>Mammalian cell culture (routine)</t>
        </is>
      </c>
      <c r="B25" s="47" t="inlineStr">
        <is>
          <t>Counting</t>
        </is>
      </c>
      <c r="C25" s="47" t="inlineStr">
        <is>
          <t>I057</t>
        </is>
      </c>
      <c r="D25" s="45">
        <f>INDEX(Items!$B$2:$B$86,MATCH(C25,Items!$A$2:$A$86,0))</f>
        <v/>
      </c>
      <c r="E25" s="45">
        <f>INDEX(Items!$D$2:$D$86,MATCH(C25,Items!$A$2:$A$86,0))</f>
        <v/>
      </c>
      <c r="F25" s="45">
        <f>INDEX(Categories!$D$2:$D$36,MATCH(E25,Categories!$A$2:$A$36,0))</f>
        <v/>
      </c>
    </row>
    <row r="26" ht="23.85" customHeight="1" s="42">
      <c r="A26" s="47" t="inlineStr">
        <is>
          <t>Mammalian cell culture (routine)</t>
        </is>
      </c>
      <c r="B26" s="47" t="inlineStr">
        <is>
          <t>Freezing</t>
        </is>
      </c>
      <c r="C26" s="47" t="inlineStr">
        <is>
          <t>I012</t>
        </is>
      </c>
      <c r="D26" s="45">
        <f>INDEX(Items!$B$2:$B$86,MATCH(C26,Items!$A$2:$A$86,0))</f>
        <v/>
      </c>
      <c r="E26" s="45">
        <f>INDEX(Items!$D$2:$D$86,MATCH(C26,Items!$A$2:$A$86,0))</f>
        <v/>
      </c>
      <c r="F26" s="45">
        <f>INDEX(Categories!$D$2:$D$36,MATCH(E26,Categories!$A$2:$A$36,0))</f>
        <v/>
      </c>
    </row>
    <row r="27" ht="15" customHeight="1" s="42">
      <c r="A27" s="47" t="inlineStr">
        <is>
          <t>Mammalian cell culture (routine)</t>
        </is>
      </c>
      <c r="B27" s="47" t="inlineStr">
        <is>
          <t>Housekeeping</t>
        </is>
      </c>
      <c r="C27" s="47" t="inlineStr">
        <is>
          <t>I003</t>
        </is>
      </c>
      <c r="D27" s="45">
        <f>INDEX(Items!$B$2:$B$86,MATCH(C27,Items!$A$2:$A$86,0))</f>
        <v/>
      </c>
      <c r="E27" s="45">
        <f>INDEX(Items!$D$2:$D$86,MATCH(C27,Items!$A$2:$A$86,0))</f>
        <v/>
      </c>
      <c r="F27" s="45">
        <f>INDEX(Categories!$D$2:$D$36,MATCH(E27,Categories!$A$2:$A$36,0))</f>
        <v/>
      </c>
    </row>
    <row r="28" ht="15" customHeight="1" s="42">
      <c r="A28" s="47" t="inlineStr">
        <is>
          <t>Mammalian cell culture (routine)</t>
        </is>
      </c>
      <c r="B28" s="47" t="inlineStr">
        <is>
          <t>Housekeeping</t>
        </is>
      </c>
      <c r="C28" s="47" t="inlineStr">
        <is>
          <t>I066</t>
        </is>
      </c>
      <c r="D28" s="45">
        <f>INDEX(Items!$B$2:$B$86,MATCH(C28,Items!$A$2:$A$86,0))</f>
        <v/>
      </c>
      <c r="E28" s="45">
        <f>INDEX(Items!$D$2:$D$86,MATCH(C28,Items!$A$2:$A$86,0))</f>
        <v/>
      </c>
      <c r="F28" s="45">
        <f>INDEX(Categories!$D$2:$D$36,MATCH(E28,Categories!$A$2:$A$36,0))</f>
        <v/>
      </c>
    </row>
    <row r="29" ht="23.85" customHeight="1" s="42">
      <c r="A29" s="47" t="inlineStr">
        <is>
          <t>Mammalian cell culture (routine)</t>
        </is>
      </c>
      <c r="B29" s="47" t="inlineStr">
        <is>
          <t>Housekeeping</t>
        </is>
      </c>
      <c r="C29" s="47" t="inlineStr">
        <is>
          <t>I011</t>
        </is>
      </c>
      <c r="D29" s="45">
        <f>INDEX(Items!$B$2:$B$86,MATCH(C29,Items!$A$2:$A$86,0))</f>
        <v/>
      </c>
      <c r="E29" s="45">
        <f>INDEX(Items!$D$2:$D$86,MATCH(C29,Items!$A$2:$A$86,0))</f>
        <v/>
      </c>
      <c r="F29" s="45">
        <f>INDEX(Categories!$D$2:$D$36,MATCH(E29,Categories!$A$2:$A$36,0))</f>
        <v/>
      </c>
    </row>
    <row r="30" ht="15" customHeight="1" s="42">
      <c r="A30" s="47" t="inlineStr">
        <is>
          <t>Transfection / transduction</t>
        </is>
      </c>
      <c r="B30" s="47" t="inlineStr">
        <is>
          <t>Experiment</t>
        </is>
      </c>
      <c r="C30" s="47" t="inlineStr">
        <is>
          <t>I014</t>
        </is>
      </c>
      <c r="D30" s="45">
        <f>INDEX(Items!$B$2:$B$86,MATCH(C30,Items!$A$2:$A$86,0))</f>
        <v/>
      </c>
      <c r="E30" s="45">
        <f>INDEX(Items!$D$2:$D$86,MATCH(C30,Items!$A$2:$A$86,0))</f>
        <v/>
      </c>
      <c r="F30" s="45">
        <f>INDEX(Categories!$D$2:$D$36,MATCH(E30,Categories!$A$2:$A$36,0))</f>
        <v/>
      </c>
    </row>
    <row r="31" ht="23.85" customHeight="1" s="42">
      <c r="A31" s="47" t="inlineStr">
        <is>
          <t>Transfection / transduction</t>
        </is>
      </c>
      <c r="B31" s="47" t="inlineStr">
        <is>
          <t>Experiment</t>
        </is>
      </c>
      <c r="C31" s="47" t="inlineStr">
        <is>
          <t>I010</t>
        </is>
      </c>
      <c r="D31" s="45">
        <f>INDEX(Items!$B$2:$B$86,MATCH(C31,Items!$A$2:$A$86,0))</f>
        <v/>
      </c>
      <c r="E31" s="45">
        <f>INDEX(Items!$D$2:$D$86,MATCH(C31,Items!$A$2:$A$86,0))</f>
        <v/>
      </c>
      <c r="F31" s="45">
        <f>INDEX(Categories!$D$2:$D$36,MATCH(E31,Categories!$A$2:$A$36,0))</f>
        <v/>
      </c>
    </row>
    <row r="32" ht="15" customHeight="1" s="42">
      <c r="A32" s="47" t="inlineStr">
        <is>
          <t>Transfection / transduction</t>
        </is>
      </c>
      <c r="B32" s="47" t="inlineStr">
        <is>
          <t>Housekeeping</t>
        </is>
      </c>
      <c r="C32" s="47" t="inlineStr">
        <is>
          <t>I066</t>
        </is>
      </c>
      <c r="D32" s="45">
        <f>INDEX(Items!$B$2:$B$86,MATCH(C32,Items!$A$2:$A$86,0))</f>
        <v/>
      </c>
      <c r="E32" s="45">
        <f>INDEX(Items!$D$2:$D$86,MATCH(C32,Items!$A$2:$A$86,0))</f>
        <v/>
      </c>
      <c r="F32" s="45">
        <f>INDEX(Categories!$D$2:$D$36,MATCH(E32,Categories!$A$2:$A$36,0))</f>
        <v/>
      </c>
    </row>
    <row r="33" ht="15" customHeight="1" s="42">
      <c r="A33" s="47" t="inlineStr">
        <is>
          <t>Cell viability (MTT / luminescence)</t>
        </is>
      </c>
      <c r="B33" s="47" t="inlineStr">
        <is>
          <t>Drug treatment</t>
        </is>
      </c>
      <c r="C33" s="47" t="inlineStr">
        <is>
          <t>I015</t>
        </is>
      </c>
      <c r="D33" s="45">
        <f>INDEX(Items!$B$2:$B$86,MATCH(C33,Items!$A$2:$A$86,0))</f>
        <v/>
      </c>
      <c r="E33" s="45">
        <f>INDEX(Items!$D$2:$D$86,MATCH(C33,Items!$A$2:$A$86,0))</f>
        <v/>
      </c>
      <c r="F33" s="45">
        <f>INDEX(Categories!$D$2:$D$36,MATCH(E33,Categories!$A$2:$A$36,0))</f>
        <v/>
      </c>
    </row>
    <row r="34" ht="23.85" customHeight="1" s="42">
      <c r="A34" s="47" t="inlineStr">
        <is>
          <t>Cell viability (MTT / luminescence)</t>
        </is>
      </c>
      <c r="B34" s="47" t="inlineStr">
        <is>
          <t>Readout</t>
        </is>
      </c>
      <c r="C34" s="47" t="inlineStr">
        <is>
          <t>I053</t>
        </is>
      </c>
      <c r="D34" s="45">
        <f>INDEX(Items!$B$2:$B$86,MATCH(C34,Items!$A$2:$A$86,0))</f>
        <v/>
      </c>
      <c r="E34" s="45">
        <f>INDEX(Items!$D$2:$D$86,MATCH(C34,Items!$A$2:$A$86,0))</f>
        <v/>
      </c>
      <c r="F34" s="45">
        <f>INDEX(Categories!$D$2:$D$36,MATCH(E34,Categories!$A$2:$A$36,0))</f>
        <v/>
      </c>
    </row>
    <row r="35" ht="23.85" customHeight="1" s="42">
      <c r="A35" s="47" t="inlineStr">
        <is>
          <t>Cell viability (MTT / luminescence)</t>
        </is>
      </c>
      <c r="B35" s="47" t="inlineStr">
        <is>
          <t>Readout</t>
        </is>
      </c>
      <c r="C35" s="47" t="inlineStr">
        <is>
          <t>I054</t>
        </is>
      </c>
      <c r="D35" s="45">
        <f>INDEX(Items!$B$2:$B$86,MATCH(C35,Items!$A$2:$A$86,0))</f>
        <v/>
      </c>
      <c r="E35" s="45">
        <f>INDEX(Items!$D$2:$D$86,MATCH(C35,Items!$A$2:$A$86,0))</f>
        <v/>
      </c>
      <c r="F35" s="45">
        <f>INDEX(Categories!$D$2:$D$36,MATCH(E35,Categories!$A$2:$A$36,0))</f>
        <v/>
      </c>
    </row>
    <row r="36" ht="23.85" customHeight="1" s="42">
      <c r="A36" s="47" t="inlineStr">
        <is>
          <t>Cell viability (MTT / luminescence)</t>
        </is>
      </c>
      <c r="B36" s="47" t="inlineStr">
        <is>
          <t>Readout</t>
        </is>
      </c>
      <c r="C36" s="47" t="inlineStr">
        <is>
          <t>I055</t>
        </is>
      </c>
      <c r="D36" s="45">
        <f>INDEX(Items!$B$2:$B$86,MATCH(C36,Items!$A$2:$A$86,0))</f>
        <v/>
      </c>
      <c r="E36" s="45">
        <f>INDEX(Items!$D$2:$D$86,MATCH(C36,Items!$A$2:$A$86,0))</f>
        <v/>
      </c>
      <c r="F36" s="45">
        <f>INDEX(Categories!$D$2:$D$36,MATCH(E36,Categories!$A$2:$A$36,0))</f>
        <v/>
      </c>
    </row>
    <row r="37" ht="23.85" customHeight="1" s="42">
      <c r="A37" s="47" t="inlineStr">
        <is>
          <t>Cell viability (MTT / luminescence)</t>
        </is>
      </c>
      <c r="B37" s="47" t="inlineStr">
        <is>
          <t>Pipetting</t>
        </is>
      </c>
      <c r="C37" s="47" t="inlineStr">
        <is>
          <t>I010</t>
        </is>
      </c>
      <c r="D37" s="45">
        <f>INDEX(Items!$B$2:$B$86,MATCH(C37,Items!$A$2:$A$86,0))</f>
        <v/>
      </c>
      <c r="E37" s="45">
        <f>INDEX(Items!$D$2:$D$86,MATCH(C37,Items!$A$2:$A$86,0))</f>
        <v/>
      </c>
      <c r="F37" s="45">
        <f>INDEX(Categories!$D$2:$D$36,MATCH(E37,Categories!$A$2:$A$36,0))</f>
        <v/>
      </c>
    </row>
    <row r="38" ht="23.85" customHeight="1" s="42">
      <c r="A38" s="47" t="inlineStr">
        <is>
          <t>PCR / qPCR</t>
        </is>
      </c>
      <c r="B38" s="47" t="inlineStr">
        <is>
          <t>Setup</t>
        </is>
      </c>
      <c r="C38" s="47" t="inlineStr">
        <is>
          <t>I036</t>
        </is>
      </c>
      <c r="D38" s="45">
        <f>INDEX(Items!$B$2:$B$86,MATCH(C38,Items!$A$2:$A$86,0))</f>
        <v/>
      </c>
      <c r="E38" s="45">
        <f>INDEX(Items!$D$2:$D$86,MATCH(C38,Items!$A$2:$A$86,0))</f>
        <v/>
      </c>
      <c r="F38" s="45">
        <f>INDEX(Categories!$D$2:$D$36,MATCH(E38,Categories!$A$2:$A$36,0))</f>
        <v/>
      </c>
    </row>
    <row r="39" ht="23.85" customHeight="1" s="42">
      <c r="A39" s="47" t="inlineStr">
        <is>
          <t>PCR / qPCR</t>
        </is>
      </c>
      <c r="B39" s="47" t="inlineStr">
        <is>
          <t>Setup</t>
        </is>
      </c>
      <c r="C39" s="47" t="inlineStr">
        <is>
          <t>I010</t>
        </is>
      </c>
      <c r="D39" s="45">
        <f>INDEX(Items!$B$2:$B$86,MATCH(C39,Items!$A$2:$A$86,0))</f>
        <v/>
      </c>
      <c r="E39" s="45">
        <f>INDEX(Items!$D$2:$D$86,MATCH(C39,Items!$A$2:$A$86,0))</f>
        <v/>
      </c>
      <c r="F39" s="45">
        <f>INDEX(Categories!$D$2:$D$36,MATCH(E39,Categories!$A$2:$A$36,0))</f>
        <v/>
      </c>
    </row>
    <row r="40" ht="23.85" customHeight="1" s="42">
      <c r="A40" s="47" t="inlineStr">
        <is>
          <t>PCR / qPCR</t>
        </is>
      </c>
      <c r="B40" s="47" t="inlineStr">
        <is>
          <t>Setup</t>
        </is>
      </c>
      <c r="C40" s="47" t="inlineStr">
        <is>
          <t>I011</t>
        </is>
      </c>
      <c r="D40" s="45">
        <f>INDEX(Items!$B$2:$B$86,MATCH(C40,Items!$A$2:$A$86,0))</f>
        <v/>
      </c>
      <c r="E40" s="45">
        <f>INDEX(Items!$D$2:$D$86,MATCH(C40,Items!$A$2:$A$86,0))</f>
        <v/>
      </c>
      <c r="F40" s="45">
        <f>INDEX(Categories!$D$2:$D$36,MATCH(E40,Categories!$A$2:$A$36,0))</f>
        <v/>
      </c>
    </row>
    <row r="41" ht="23.85" customHeight="1" s="42">
      <c r="A41" s="47" t="inlineStr">
        <is>
          <t>RNA / DNA extraction (TRIzol and kits)</t>
        </is>
      </c>
      <c r="B41" s="47" t="inlineStr">
        <is>
          <t>Lysis</t>
        </is>
      </c>
      <c r="C41" s="47" t="inlineStr">
        <is>
          <t>I038</t>
        </is>
      </c>
      <c r="D41" s="45">
        <f>INDEX(Items!$B$2:$B$86,MATCH(C41,Items!$A$2:$A$86,0))</f>
        <v/>
      </c>
      <c r="E41" s="45">
        <f>INDEX(Items!$D$2:$D$86,MATCH(C41,Items!$A$2:$A$86,0))</f>
        <v/>
      </c>
      <c r="F41" s="45">
        <f>INDEX(Categories!$D$2:$D$36,MATCH(E41,Categories!$A$2:$A$36,0))</f>
        <v/>
      </c>
    </row>
    <row r="42" ht="23.85" customHeight="1" s="42">
      <c r="A42" s="47" t="inlineStr">
        <is>
          <t>RNA / DNA extraction (TRIzol and kits)</t>
        </is>
      </c>
      <c r="B42" s="47" t="inlineStr">
        <is>
          <t>Phase separation</t>
        </is>
      </c>
      <c r="C42" s="47" t="inlineStr">
        <is>
          <t>I037</t>
        </is>
      </c>
      <c r="D42" s="45">
        <f>INDEX(Items!$B$2:$B$86,MATCH(C42,Items!$A$2:$A$86,0))</f>
        <v/>
      </c>
      <c r="E42" s="45">
        <f>INDEX(Items!$D$2:$D$86,MATCH(C42,Items!$A$2:$A$86,0))</f>
        <v/>
      </c>
      <c r="F42" s="45">
        <f>INDEX(Categories!$D$2:$D$36,MATCH(E42,Categories!$A$2:$A$36,0))</f>
        <v/>
      </c>
    </row>
    <row r="43" ht="23.85" customHeight="1" s="42">
      <c r="A43" s="47" t="inlineStr">
        <is>
          <t>RNA / DNA extraction (TRIzol and kits)</t>
        </is>
      </c>
      <c r="B43" s="47" t="inlineStr">
        <is>
          <t>Phase separation</t>
        </is>
      </c>
      <c r="C43" s="47" t="inlineStr">
        <is>
          <t>I042</t>
        </is>
      </c>
      <c r="D43" s="45">
        <f>INDEX(Items!$B$2:$B$86,MATCH(C43,Items!$A$2:$A$86,0))</f>
        <v/>
      </c>
      <c r="E43" s="45">
        <f>INDEX(Items!$D$2:$D$86,MATCH(C43,Items!$A$2:$A$86,0))</f>
        <v/>
      </c>
      <c r="F43" s="45">
        <f>INDEX(Categories!$D$2:$D$36,MATCH(E43,Categories!$A$2:$A$36,0))</f>
        <v/>
      </c>
    </row>
    <row r="44" ht="23.85" customHeight="1" s="42">
      <c r="A44" s="47" t="inlineStr">
        <is>
          <t>RNA / DNA extraction (TRIzol and kits)</t>
        </is>
      </c>
      <c r="B44" s="47" t="inlineStr">
        <is>
          <t>Kit binding and washes</t>
        </is>
      </c>
      <c r="C44" s="47" t="inlineStr">
        <is>
          <t>I039</t>
        </is>
      </c>
      <c r="D44" s="45">
        <f>INDEX(Items!$B$2:$B$86,MATCH(C44,Items!$A$2:$A$86,0))</f>
        <v/>
      </c>
      <c r="E44" s="45">
        <f>INDEX(Items!$D$2:$D$86,MATCH(C44,Items!$A$2:$A$86,0))</f>
        <v/>
      </c>
      <c r="F44" s="45">
        <f>INDEX(Categories!$D$2:$D$36,MATCH(E44,Categories!$A$2:$A$36,0))</f>
        <v/>
      </c>
    </row>
    <row r="45" ht="23.85" customHeight="1" s="42">
      <c r="A45" s="47" t="inlineStr">
        <is>
          <t>RNA / DNA extraction (TRIzol and kits)</t>
        </is>
      </c>
      <c r="B45" s="47" t="inlineStr">
        <is>
          <t>Kit binding and washes</t>
        </is>
      </c>
      <c r="C45" s="47" t="inlineStr">
        <is>
          <t>I040</t>
        </is>
      </c>
      <c r="D45" s="45">
        <f>INDEX(Items!$B$2:$B$86,MATCH(C45,Items!$A$2:$A$86,0))</f>
        <v/>
      </c>
      <c r="E45" s="45">
        <f>INDEX(Items!$D$2:$D$86,MATCH(C45,Items!$A$2:$A$86,0))</f>
        <v/>
      </c>
      <c r="F45" s="45">
        <f>INDEX(Categories!$D$2:$D$36,MATCH(E45,Categories!$A$2:$A$36,0))</f>
        <v/>
      </c>
    </row>
    <row r="46" ht="15" customHeight="1" s="42">
      <c r="A46" s="47" t="inlineStr">
        <is>
          <t>RNA / DNA extraction (TRIzol and kits)</t>
        </is>
      </c>
      <c r="B46" s="47" t="inlineStr">
        <is>
          <t>Precipitation</t>
        </is>
      </c>
      <c r="C46" s="47" t="inlineStr">
        <is>
          <t>I041</t>
        </is>
      </c>
      <c r="D46" s="45">
        <f>INDEX(Items!$B$2:$B$86,MATCH(C46,Items!$A$2:$A$86,0))</f>
        <v/>
      </c>
      <c r="E46" s="45">
        <f>INDEX(Items!$D$2:$D$86,MATCH(C46,Items!$A$2:$A$86,0))</f>
        <v/>
      </c>
      <c r="F46" s="45">
        <f>INDEX(Categories!$D$2:$D$36,MATCH(E46,Categories!$A$2:$A$36,0))</f>
        <v/>
      </c>
    </row>
    <row r="47" ht="23.85" customHeight="1" s="42">
      <c r="A47" s="47" t="inlineStr">
        <is>
          <t>RNA / DNA extraction (TRIzol and kits)</t>
        </is>
      </c>
      <c r="B47" s="47" t="inlineStr">
        <is>
          <t>Cleanup</t>
        </is>
      </c>
      <c r="C47" s="47" t="inlineStr">
        <is>
          <t>I043</t>
        </is>
      </c>
      <c r="D47" s="45">
        <f>INDEX(Items!$B$2:$B$86,MATCH(C47,Items!$A$2:$A$86,0))</f>
        <v/>
      </c>
      <c r="E47" s="45">
        <f>INDEX(Items!$D$2:$D$86,MATCH(C47,Items!$A$2:$A$86,0))</f>
        <v/>
      </c>
      <c r="F47" s="45">
        <f>INDEX(Categories!$D$2:$D$36,MATCH(E47,Categories!$A$2:$A$36,0))</f>
        <v/>
      </c>
    </row>
    <row r="48" ht="23.85" customHeight="1" s="42">
      <c r="A48" s="47" t="inlineStr">
        <is>
          <t>IHC / immunofluorescence</t>
        </is>
      </c>
      <c r="B48" s="47" t="inlineStr">
        <is>
          <t>Fixation</t>
        </is>
      </c>
      <c r="C48" s="47" t="inlineStr">
        <is>
          <t>I058</t>
        </is>
      </c>
      <c r="D48" s="45">
        <f>INDEX(Items!$B$2:$B$86,MATCH(C48,Items!$A$2:$A$86,0))</f>
        <v/>
      </c>
      <c r="E48" s="45">
        <f>INDEX(Items!$D$2:$D$86,MATCH(C48,Items!$A$2:$A$86,0))</f>
        <v/>
      </c>
      <c r="F48" s="45">
        <f>INDEX(Categories!$D$2:$D$36,MATCH(E48,Categories!$A$2:$A$36,0))</f>
        <v/>
      </c>
    </row>
    <row r="49" ht="15" customHeight="1" s="42">
      <c r="A49" s="47" t="inlineStr">
        <is>
          <t>IHC / immunofluorescence</t>
        </is>
      </c>
      <c r="B49" s="47" t="inlineStr">
        <is>
          <t>Tissue handling</t>
        </is>
      </c>
      <c r="C49" s="47" t="inlineStr">
        <is>
          <t>I016</t>
        </is>
      </c>
      <c r="D49" s="45">
        <f>INDEX(Items!$B$2:$B$86,MATCH(C49,Items!$A$2:$A$86,0))</f>
        <v/>
      </c>
      <c r="E49" s="45">
        <f>INDEX(Items!$D$2:$D$86,MATCH(C49,Items!$A$2:$A$86,0))</f>
        <v/>
      </c>
      <c r="F49" s="45">
        <f>INDEX(Categories!$D$2:$D$36,MATCH(E49,Categories!$A$2:$A$36,0))</f>
        <v/>
      </c>
    </row>
    <row r="50" ht="15" customHeight="1" s="42">
      <c r="A50" s="47" t="inlineStr">
        <is>
          <t>IHC / immunofluorescence</t>
        </is>
      </c>
      <c r="B50" s="47" t="inlineStr">
        <is>
          <t>Deparaffinisation</t>
        </is>
      </c>
      <c r="C50" s="47" t="inlineStr">
        <is>
          <t>I059</t>
        </is>
      </c>
      <c r="D50" s="45">
        <f>INDEX(Items!$B$2:$B$86,MATCH(C50,Items!$A$2:$A$86,0))</f>
        <v/>
      </c>
      <c r="E50" s="45">
        <f>INDEX(Items!$D$2:$D$86,MATCH(C50,Items!$A$2:$A$86,0))</f>
        <v/>
      </c>
      <c r="F50" s="45">
        <f>INDEX(Categories!$D$2:$D$36,MATCH(E50,Categories!$A$2:$A$36,0))</f>
        <v/>
      </c>
    </row>
    <row r="51" ht="15" customHeight="1" s="42">
      <c r="A51" s="47" t="inlineStr">
        <is>
          <t>IHC / immunofluorescence</t>
        </is>
      </c>
      <c r="B51" s="47" t="inlineStr">
        <is>
          <t>Dehydration</t>
        </is>
      </c>
      <c r="C51" s="47" t="inlineStr">
        <is>
          <t>I041</t>
        </is>
      </c>
      <c r="D51" s="45">
        <f>INDEX(Items!$B$2:$B$86,MATCH(C51,Items!$A$2:$A$86,0))</f>
        <v/>
      </c>
      <c r="E51" s="45">
        <f>INDEX(Items!$D$2:$D$86,MATCH(C51,Items!$A$2:$A$86,0))</f>
        <v/>
      </c>
      <c r="F51" s="45">
        <f>INDEX(Categories!$D$2:$D$36,MATCH(E51,Categories!$A$2:$A$36,0))</f>
        <v/>
      </c>
    </row>
    <row r="52" ht="15" customHeight="1" s="42">
      <c r="A52" s="47" t="inlineStr">
        <is>
          <t>IHC / immunofluorescence</t>
        </is>
      </c>
      <c r="B52" s="47" t="inlineStr">
        <is>
          <t>Staining</t>
        </is>
      </c>
      <c r="C52" s="47" t="inlineStr">
        <is>
          <t>I063</t>
        </is>
      </c>
      <c r="D52" s="45">
        <f>INDEX(Items!$B$2:$B$86,MATCH(C52,Items!$A$2:$A$86,0))</f>
        <v/>
      </c>
      <c r="E52" s="45">
        <f>INDEX(Items!$D$2:$D$86,MATCH(C52,Items!$A$2:$A$86,0))</f>
        <v/>
      </c>
      <c r="F52" s="45">
        <f>INDEX(Categories!$D$2:$D$36,MATCH(E52,Categories!$A$2:$A$36,0))</f>
        <v/>
      </c>
    </row>
    <row r="53" ht="23.85" customHeight="1" s="42">
      <c r="A53" s="47" t="inlineStr">
        <is>
          <t>IHC / immunofluorescence</t>
        </is>
      </c>
      <c r="B53" s="47" t="inlineStr">
        <is>
          <t>Staining</t>
        </is>
      </c>
      <c r="C53" s="47" t="inlineStr">
        <is>
          <t>I060</t>
        </is>
      </c>
      <c r="D53" s="45">
        <f>INDEX(Items!$B$2:$B$86,MATCH(C53,Items!$A$2:$A$86,0))</f>
        <v/>
      </c>
      <c r="E53" s="45">
        <f>INDEX(Items!$D$2:$D$86,MATCH(C53,Items!$A$2:$A$86,0))</f>
        <v/>
      </c>
      <c r="F53" s="45">
        <f>INDEX(Categories!$D$2:$D$36,MATCH(E53,Categories!$A$2:$A$36,0))</f>
        <v/>
      </c>
    </row>
    <row r="54" ht="23.85" customHeight="1" s="42">
      <c r="A54" s="47" t="inlineStr">
        <is>
          <t>IHC / immunofluorescence</t>
        </is>
      </c>
      <c r="B54" s="47" t="inlineStr">
        <is>
          <t>Mounting</t>
        </is>
      </c>
      <c r="C54" s="47" t="inlineStr">
        <is>
          <t>I062</t>
        </is>
      </c>
      <c r="D54" s="45">
        <f>INDEX(Items!$B$2:$B$86,MATCH(C54,Items!$A$2:$A$86,0))</f>
        <v/>
      </c>
      <c r="E54" s="45">
        <f>INDEX(Items!$D$2:$D$86,MATCH(C54,Items!$A$2:$A$86,0))</f>
        <v/>
      </c>
      <c r="F54" s="45">
        <f>INDEX(Categories!$D$2:$D$36,MATCH(E54,Categories!$A$2:$A$36,0))</f>
        <v/>
      </c>
    </row>
    <row r="55" ht="15" customHeight="1" s="42">
      <c r="A55" s="47" t="inlineStr">
        <is>
          <t>IHC / immunofluorescence</t>
        </is>
      </c>
      <c r="B55" s="47" t="inlineStr">
        <is>
          <t>Mounting</t>
        </is>
      </c>
      <c r="C55" s="47" t="inlineStr">
        <is>
          <t>I061</t>
        </is>
      </c>
      <c r="D55" s="45">
        <f>INDEX(Items!$B$2:$B$86,MATCH(C55,Items!$A$2:$A$86,0))</f>
        <v/>
      </c>
      <c r="E55" s="45">
        <f>INDEX(Items!$D$2:$D$86,MATCH(C55,Items!$A$2:$A$86,0))</f>
        <v/>
      </c>
      <c r="F55" s="45">
        <f>INDEX(Categories!$D$2:$D$36,MATCH(E55,Categories!$A$2:$A$36,0))</f>
        <v/>
      </c>
    </row>
    <row r="56" ht="15" customHeight="1" s="42">
      <c r="A56" s="47" t="inlineStr">
        <is>
          <t>LC-MS/MS proteomics sample prep</t>
        </is>
      </c>
      <c r="B56" s="47" t="inlineStr">
        <is>
          <t>Lysis and digestion</t>
        </is>
      </c>
      <c r="C56" s="47" t="inlineStr">
        <is>
          <t>I044</t>
        </is>
      </c>
      <c r="D56" s="45">
        <f>INDEX(Items!$B$2:$B$86,MATCH(C56,Items!$A$2:$A$86,0))</f>
        <v/>
      </c>
      <c r="E56" s="45">
        <f>INDEX(Items!$D$2:$D$86,MATCH(C56,Items!$A$2:$A$86,0))</f>
        <v/>
      </c>
      <c r="F56" s="45">
        <f>INDEX(Categories!$D$2:$D$36,MATCH(E56,Categories!$A$2:$A$36,0))</f>
        <v/>
      </c>
    </row>
    <row r="57" ht="15" customHeight="1" s="42">
      <c r="A57" s="47" t="inlineStr">
        <is>
          <t>LC-MS/MS proteomics sample prep</t>
        </is>
      </c>
      <c r="B57" s="47" t="inlineStr">
        <is>
          <t>Reduction and alkylation</t>
        </is>
      </c>
      <c r="C57" s="47" t="inlineStr">
        <is>
          <t>I045</t>
        </is>
      </c>
      <c r="D57" s="45">
        <f>INDEX(Items!$B$2:$B$86,MATCH(C57,Items!$A$2:$A$86,0))</f>
        <v/>
      </c>
      <c r="E57" s="45">
        <f>INDEX(Items!$D$2:$D$86,MATCH(C57,Items!$A$2:$A$86,0))</f>
        <v/>
      </c>
      <c r="F57" s="45">
        <f>INDEX(Categories!$D$2:$D$36,MATCH(E57,Categories!$A$2:$A$36,0))</f>
        <v/>
      </c>
    </row>
    <row r="58" ht="15" customHeight="1" s="42">
      <c r="A58" s="47" t="inlineStr">
        <is>
          <t>LC-MS/MS proteomics sample prep</t>
        </is>
      </c>
      <c r="B58" s="47" t="inlineStr">
        <is>
          <t>Enrichment</t>
        </is>
      </c>
      <c r="C58" s="47" t="inlineStr">
        <is>
          <t>I050</t>
        </is>
      </c>
      <c r="D58" s="45">
        <f>INDEX(Items!$B$2:$B$86,MATCH(C58,Items!$A$2:$A$86,0))</f>
        <v/>
      </c>
      <c r="E58" s="45">
        <f>INDEX(Items!$D$2:$D$86,MATCH(C58,Items!$A$2:$A$86,0))</f>
        <v/>
      </c>
      <c r="F58" s="45">
        <f>INDEX(Categories!$D$2:$D$36,MATCH(E58,Categories!$A$2:$A$36,0))</f>
        <v/>
      </c>
    </row>
    <row r="59" ht="23.85" customHeight="1" s="42">
      <c r="A59" s="47" t="inlineStr">
        <is>
          <t>LC-MS/MS proteomics sample prep</t>
        </is>
      </c>
      <c r="B59" s="47" t="inlineStr">
        <is>
          <t>Enrichment</t>
        </is>
      </c>
      <c r="C59" s="47" t="inlineStr">
        <is>
          <t>I051</t>
        </is>
      </c>
      <c r="D59" s="45">
        <f>INDEX(Items!$B$2:$B$86,MATCH(C59,Items!$A$2:$A$86,0))</f>
        <v/>
      </c>
      <c r="E59" s="45">
        <f>INDEX(Items!$D$2:$D$86,MATCH(C59,Items!$A$2:$A$86,0))</f>
        <v/>
      </c>
      <c r="F59" s="45">
        <f>INDEX(Categories!$D$2:$D$36,MATCH(E59,Categories!$A$2:$A$36,0))</f>
        <v/>
      </c>
    </row>
    <row r="60" ht="23.85" customHeight="1" s="42">
      <c r="A60" s="47" t="inlineStr">
        <is>
          <t>LC-MS/MS proteomics sample prep</t>
        </is>
      </c>
      <c r="B60" s="47" t="inlineStr">
        <is>
          <t>Cleanup</t>
        </is>
      </c>
      <c r="C60" s="47" t="inlineStr">
        <is>
          <t>I048</t>
        </is>
      </c>
      <c r="D60" s="45">
        <f>INDEX(Items!$B$2:$B$86,MATCH(C60,Items!$A$2:$A$86,0))</f>
        <v/>
      </c>
      <c r="E60" s="45">
        <f>INDEX(Items!$D$2:$D$86,MATCH(C60,Items!$A$2:$A$86,0))</f>
        <v/>
      </c>
      <c r="F60" s="45">
        <f>INDEX(Categories!$D$2:$D$36,MATCH(E60,Categories!$A$2:$A$36,0))</f>
        <v/>
      </c>
    </row>
    <row r="61" ht="15" customHeight="1" s="42">
      <c r="A61" s="47" t="inlineStr">
        <is>
          <t>LC-MS/MS proteomics sample prep</t>
        </is>
      </c>
      <c r="B61" s="47" t="inlineStr">
        <is>
          <t>Acidification</t>
        </is>
      </c>
      <c r="C61" s="47" t="inlineStr">
        <is>
          <t>I047</t>
        </is>
      </c>
      <c r="D61" s="45">
        <f>INDEX(Items!$B$2:$B$86,MATCH(C61,Items!$A$2:$A$86,0))</f>
        <v/>
      </c>
      <c r="E61" s="45">
        <f>INDEX(Items!$D$2:$D$86,MATCH(C61,Items!$A$2:$A$86,0))</f>
        <v/>
      </c>
      <c r="F61" s="45">
        <f>INDEX(Categories!$D$2:$D$36,MATCH(E61,Categories!$A$2:$A$36,0))</f>
        <v/>
      </c>
    </row>
    <row r="62" ht="15" customHeight="1" s="42">
      <c r="A62" s="47" t="inlineStr">
        <is>
          <t>LC-MS/MS proteomics sample prep</t>
        </is>
      </c>
      <c r="B62" s="47" t="inlineStr">
        <is>
          <t>Leftovers</t>
        </is>
      </c>
      <c r="C62" s="47" t="inlineStr">
        <is>
          <t>I052</t>
        </is>
      </c>
      <c r="D62" s="45">
        <f>INDEX(Items!$B$2:$B$86,MATCH(C62,Items!$A$2:$A$86,0))</f>
        <v/>
      </c>
      <c r="E62" s="45">
        <f>INDEX(Items!$D$2:$D$86,MATCH(C62,Items!$A$2:$A$86,0))</f>
        <v/>
      </c>
      <c r="F62" s="45">
        <f>INDEX(Categories!$D$2:$D$36,MATCH(E62,Categories!$A$2:$A$36,0))</f>
        <v/>
      </c>
    </row>
    <row r="63" ht="15" customHeight="1" s="42">
      <c r="A63" s="47" t="inlineStr">
        <is>
          <t>LC-MS/MS proteomics sample prep</t>
        </is>
      </c>
      <c r="B63" s="47" t="inlineStr">
        <is>
          <t>Run</t>
        </is>
      </c>
      <c r="C63" s="47" t="inlineStr">
        <is>
          <t>I046</t>
        </is>
      </c>
      <c r="D63" s="45">
        <f>INDEX(Items!$B$2:$B$86,MATCH(C63,Items!$A$2:$A$86,0))</f>
        <v/>
      </c>
      <c r="E63" s="45">
        <f>INDEX(Items!$D$2:$D$86,MATCH(C63,Items!$A$2:$A$86,0))</f>
        <v/>
      </c>
      <c r="F63" s="45">
        <f>INDEX(Categories!$D$2:$D$36,MATCH(E63,Categories!$A$2:$A$36,0))</f>
        <v/>
      </c>
    </row>
    <row r="64" ht="23.85" customHeight="1" s="42">
      <c r="A64" s="47" t="inlineStr">
        <is>
          <t>LC-MS/MS proteomics sample prep</t>
        </is>
      </c>
      <c r="B64" s="47" t="inlineStr">
        <is>
          <t>Run</t>
        </is>
      </c>
      <c r="C64" s="47" t="inlineStr">
        <is>
          <t>I049</t>
        </is>
      </c>
      <c r="D64" s="45">
        <f>INDEX(Items!$B$2:$B$86,MATCH(C64,Items!$A$2:$A$86,0))</f>
        <v/>
      </c>
      <c r="E64" s="45">
        <f>INDEX(Items!$D$2:$D$86,MATCH(C64,Items!$A$2:$A$86,0))</f>
        <v/>
      </c>
      <c r="F64" s="45">
        <f>INDEX(Categories!$D$2:$D$36,MATCH(E64,Categories!$A$2:$A$36,0))</f>
        <v/>
      </c>
    </row>
    <row r="65" ht="15" customHeight="1" s="42">
      <c r="A65" s="47" t="inlineStr">
        <is>
          <t>LC-MS/MS proteomics sample prep</t>
        </is>
      </c>
      <c r="B65" s="47" t="inlineStr">
        <is>
          <t>Gel staining</t>
        </is>
      </c>
      <c r="C65" s="47" t="inlineStr">
        <is>
          <t>I076</t>
        </is>
      </c>
      <c r="D65" s="45">
        <f>INDEX(Items!$B$2:$B$86,MATCH(C65,Items!$A$2:$A$86,0))</f>
        <v/>
      </c>
      <c r="E65" s="45">
        <f>INDEX(Items!$D$2:$D$86,MATCH(C65,Items!$A$2:$A$86,0))</f>
        <v/>
      </c>
      <c r="F65" s="45">
        <f>INDEX(Categories!$D$2:$D$36,MATCH(E65,Categories!$A$2:$A$36,0))</f>
        <v/>
      </c>
    </row>
    <row r="66" ht="23.85" customHeight="1" s="42">
      <c r="A66" s="47" t="inlineStr">
        <is>
          <t>LC-MS/MS proteomics sample prep</t>
        </is>
      </c>
      <c r="B66" s="47" t="inlineStr">
        <is>
          <t>Derivatisation (e.g. acetylation)</t>
        </is>
      </c>
      <c r="C66" s="47" t="inlineStr">
        <is>
          <t>I069</t>
        </is>
      </c>
      <c r="D66" s="45">
        <f>INDEX(Items!$B$2:$B$86,MATCH(C66,Items!$A$2:$A$86,0))</f>
        <v/>
      </c>
      <c r="E66" s="45">
        <f>INDEX(Items!$D$2:$D$86,MATCH(C66,Items!$A$2:$A$86,0))</f>
        <v/>
      </c>
      <c r="F66" s="45">
        <f>INDEX(Categories!$D$2:$D$36,MATCH(E66,Categories!$A$2:$A$36,0))</f>
        <v/>
      </c>
    </row>
  </sheetData>
  <autoFilter ref="A1:F6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2026-10-17T13:26:21Z</dcterms:created>
  <dcterms:modified xmlns:dcterms="http://purl.org/dc/terms/" xmlns:xsi="http://www.w3.org/2001/XMLSchema-instance" xsi:type="dcterms:W3CDTF">2026-10-17T14:36:15Z</dcterms:modified>
  <cp:revision>0</cp:revision>
</cp:coreProperties>
</file>